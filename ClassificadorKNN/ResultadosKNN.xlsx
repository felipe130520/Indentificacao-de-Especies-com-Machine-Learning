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cipal" sheetId="1" r:id="rId5"/>
    <sheet state="visible" name="Dados7030" sheetId="2" r:id="rId6"/>
    <sheet state="visible" name="Dados10Fold" sheetId="3" r:id="rId7"/>
  </sheets>
  <definedNames/>
  <calcPr/>
</workbook>
</file>

<file path=xl/sharedStrings.xml><?xml version="1.0" encoding="utf-8"?>
<sst xmlns="http://schemas.openxmlformats.org/spreadsheetml/2006/main" count="2300" uniqueCount="54">
  <si>
    <t>Bases</t>
  </si>
  <si>
    <t>Metodos</t>
  </si>
  <si>
    <t>Resultados F1-Score</t>
  </si>
  <si>
    <t>Bases a serem usadas</t>
  </si>
  <si>
    <t>Knn1</t>
  </si>
  <si>
    <t>Knn2</t>
  </si>
  <si>
    <t>Knn3</t>
  </si>
  <si>
    <t>Knn4</t>
  </si>
  <si>
    <t>Knn5</t>
  </si>
  <si>
    <t>Knn6</t>
  </si>
  <si>
    <t>Knn7</t>
  </si>
  <si>
    <t>Knn8</t>
  </si>
  <si>
    <t>Knn9</t>
  </si>
  <si>
    <t>Knn10</t>
  </si>
  <si>
    <t>HOG_128_16x16.csv</t>
  </si>
  <si>
    <t>70/30</t>
  </si>
  <si>
    <t>HOG_128_16x16_PCA75.csv</t>
  </si>
  <si>
    <t>10Fold</t>
  </si>
  <si>
    <t>HOG_128_32x32.csv</t>
  </si>
  <si>
    <t>HOG_128_16x16_PCA90.csv</t>
  </si>
  <si>
    <t>HOG_128_32x32_PCA75.csv</t>
  </si>
  <si>
    <t>HOG_128_32x32_PCA90.csv</t>
  </si>
  <si>
    <t>HOG_256_32x32_PCA75.csv</t>
  </si>
  <si>
    <t>HOG_256_32x32_PCA90.csv</t>
  </si>
  <si>
    <t>HOG_128_8x8.csv</t>
  </si>
  <si>
    <t>LBP_128_12r.csv</t>
  </si>
  <si>
    <t>HOG_128_8x8_PCA75.csv</t>
  </si>
  <si>
    <t>LBP_128_3r.csv</t>
  </si>
  <si>
    <t>HOG_128_8x8_PCA90.csv</t>
  </si>
  <si>
    <t>LBP_128_3r_PCA90.csv</t>
  </si>
  <si>
    <t>HOG_256_16x16.csv</t>
  </si>
  <si>
    <t>LBP_128_6r.csv</t>
  </si>
  <si>
    <t>HOG_256_16x16_PCA75.csv</t>
  </si>
  <si>
    <t>LBP_128_6r_PCA75.csv</t>
  </si>
  <si>
    <t>HOG_256_16x16_PCA90.csv</t>
  </si>
  <si>
    <t>LBP_128_6r_PCA90.csv</t>
  </si>
  <si>
    <t>HOG_256_32x32.csv</t>
  </si>
  <si>
    <t>LBP_256_12r.csv</t>
  </si>
  <si>
    <t>LBP_256_12r_PCA90.csv</t>
  </si>
  <si>
    <t>LBP_256_6r.csv</t>
  </si>
  <si>
    <t>HOG_256_8x8.csv</t>
  </si>
  <si>
    <t>LBP_256_6r_PCA90.csv</t>
  </si>
  <si>
    <t>HOG_256_8x8_PCA75.csv</t>
  </si>
  <si>
    <t>HOG_256_8x8_PCA90.csv</t>
  </si>
  <si>
    <t>LBP_128_12r_PCA75.csv</t>
  </si>
  <si>
    <t>LBP_128_12r_PCA90.csv</t>
  </si>
  <si>
    <t>LBP_128_3r_PCA75.csv</t>
  </si>
  <si>
    <t>LBP_256_12r_PCA75.csv</t>
  </si>
  <si>
    <t>LBP_256_3r.csv</t>
  </si>
  <si>
    <t>LBP_256_3r_PCA75.csv</t>
  </si>
  <si>
    <t>LBP_256_3r_PCA90.csv</t>
  </si>
  <si>
    <t>LBP_256_6r_PCA75.csv</t>
  </si>
  <si>
    <t>Média</t>
  </si>
  <si>
    <t>Desvio Padrão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</si>
</sst>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readingOrder="0"/>
    </xf>
    <xf borderId="0" fillId="2" fontId="1" numFmtId="164" xfId="0" applyFont="1" applyNumberFormat="1"/>
    <xf borderId="0" fillId="3" fontId="1" numFmtId="164" xfId="0" applyFill="1" applyFont="1" applyNumberFormat="1"/>
    <xf borderId="0" fillId="4" fontId="2" numFmtId="0" xfId="0" applyAlignment="1" applyFill="1" applyFont="1">
      <alignment horizontal="center" vertical="center"/>
    </xf>
    <xf borderId="0" fillId="3" fontId="1" numFmtId="0" xfId="0" applyFont="1"/>
    <xf borderId="0" fillId="4" fontId="1" numFmtId="0" xfId="0" applyAlignment="1" applyFont="1">
      <alignment horizontal="center" readingOrder="0" vertical="center"/>
    </xf>
    <xf borderId="0" fillId="4" fontId="1" numFmtId="0" xfId="0" applyAlignment="1" applyFont="1">
      <alignment readingOrder="0"/>
    </xf>
    <xf borderId="0" fillId="4" fontId="1" numFmtId="164" xfId="0" applyFont="1" applyNumberFormat="1"/>
    <xf borderId="0" fillId="0" fontId="1" numFmtId="164" xfId="0" applyFont="1" applyNumberFormat="1"/>
    <xf borderId="0" fillId="2" fontId="1" numFmtId="0" xfId="0" applyAlignment="1" applyFont="1">
      <alignment horizontal="center"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15" max="15" width="25.13"/>
  </cols>
  <sheetData>
    <row r="1">
      <c r="A1" s="1" t="s">
        <v>0</v>
      </c>
      <c r="B1" s="1" t="s">
        <v>1</v>
      </c>
      <c r="C1" s="1" t="s">
        <v>2</v>
      </c>
      <c r="O1" s="1" t="s">
        <v>3</v>
      </c>
    </row>
    <row r="2"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</row>
    <row r="3">
      <c r="A3" s="3" t="s">
        <v>14</v>
      </c>
      <c r="B3" s="4" t="s">
        <v>15</v>
      </c>
      <c r="C3" s="5">
        <f>IFERROR(VLOOKUP($A3&amp;C$2&amp;$B3,Dados7030!$E$1:$F$360,2,FALSE), VLOOKUP($A3&amp;C$2&amp;$B3,Dados10Fold!$E$1:$F$360,2,FALSE))</f>
        <v>0.5821</v>
      </c>
      <c r="D3" s="5">
        <f>IFERROR(VLOOKUP($A3&amp;D$2&amp;$B3,Dados7030!$E$1:$F$360,2,FALSE), VLOOKUP($A3&amp;D$2&amp;$B3,Dados10Fold!$E$1:$F$360,2,FALSE))</f>
        <v>0.6258</v>
      </c>
      <c r="E3" s="5">
        <f>IFERROR(VLOOKUP($A3&amp;E$2&amp;$B3,Dados7030!$E$1:$F$360,2,FALSE), VLOOKUP($A3&amp;E$2&amp;$B3,Dados10Fold!$E$1:$F$360,2,FALSE))</f>
        <v>0.5479</v>
      </c>
      <c r="F3" s="5">
        <f>IFERROR(VLOOKUP($A3&amp;F$2&amp;$B3,Dados7030!$E$1:$F$360,2,FALSE), VLOOKUP($A3&amp;F$2&amp;$B3,Dados10Fold!$E$1:$F$360,2,FALSE))</f>
        <v>0.5978</v>
      </c>
      <c r="G3" s="5">
        <f>IFERROR(VLOOKUP($A3&amp;G$2&amp;$B3,Dados7030!$E$1:$F$360,2,FALSE), VLOOKUP($A3&amp;G$2&amp;$B3,Dados10Fold!$E$1:$F$360,2,FALSE))</f>
        <v>0.542</v>
      </c>
      <c r="H3" s="5">
        <f>IFERROR(VLOOKUP($A3&amp;H$2&amp;$B3,Dados7030!$E$1:$F$360,2,FALSE), VLOOKUP($A3&amp;H$2&amp;$B3,Dados10Fold!$E$1:$F$360,2,FALSE))</f>
        <v>0.574</v>
      </c>
      <c r="I3" s="5">
        <f>IFERROR(VLOOKUP($A3&amp;I$2&amp;$B3,Dados7030!$E$1:$F$360,2,FALSE), VLOOKUP($A3&amp;I$2&amp;$B3,Dados10Fold!$E$1:$F$360,2,FALSE))</f>
        <v>0.5133</v>
      </c>
      <c r="J3" s="5">
        <f>IFERROR(VLOOKUP($A3&amp;J$2&amp;$B3,Dados7030!$E$1:$F$360,2,FALSE), VLOOKUP($A3&amp;J$2&amp;$B3,Dados10Fold!$E$1:$F$360,2,FALSE))</f>
        <v>0.553</v>
      </c>
      <c r="K3" s="5">
        <f>IFERROR(VLOOKUP($A3&amp;K$2&amp;$B3,Dados7030!$E$1:$F$360,2,FALSE), VLOOKUP($A3&amp;K$2&amp;$B3,Dados10Fold!$E$1:$F$360,2,FALSE))</f>
        <v>0.5108</v>
      </c>
      <c r="L3" s="5">
        <f>IFERROR(VLOOKUP($A3&amp;L$2&amp;$B3,Dados7030!$E$1:$F$360,2,FALSE), VLOOKUP($A3&amp;L$2&amp;$B3,Dados10Fold!$E$1:$F$360,2,FALSE))</f>
        <v>0.5336</v>
      </c>
      <c r="M3" s="6">
        <f>MEDIAN(C3:L4)</f>
        <v>0.55635</v>
      </c>
      <c r="O3" s="7" t="s">
        <v>16</v>
      </c>
    </row>
    <row r="4">
      <c r="B4" s="4" t="s">
        <v>17</v>
      </c>
      <c r="C4" s="5">
        <f>IFERROR(VLOOKUP($A3&amp;C$2&amp;$B4,Dados7030!$E$1:$F$360,2,FALSE), VLOOKUP($A3&amp;C$2&amp;$B4,Dados10Fold!$E$1:$F$360,2,FALSE))</f>
        <v>0.5824</v>
      </c>
      <c r="D4" s="5">
        <f>IFERROR(VLOOKUP($A3&amp;D$2&amp;$B4,Dados7030!$E$1:$F$360,2,FALSE), VLOOKUP($A3&amp;D$2&amp;$B4,Dados10Fold!$E$1:$F$360,2,FALSE))</f>
        <v>0.6199</v>
      </c>
      <c r="E4" s="5">
        <f>IFERROR(VLOOKUP($A3&amp;E$2&amp;$B4,Dados7030!$E$1:$F$360,2,FALSE), VLOOKUP($A3&amp;E$2&amp;$B4,Dados10Fold!$E$1:$F$360,2,FALSE))</f>
        <v>0.5597</v>
      </c>
      <c r="F4" s="5">
        <f>IFERROR(VLOOKUP($A3&amp;F$2&amp;$B4,Dados7030!$E$1:$F$360,2,FALSE), VLOOKUP($A3&amp;F$2&amp;$B4,Dados10Fold!$E$1:$F$360,2,FALSE))</f>
        <v>0.6059</v>
      </c>
      <c r="G4" s="5">
        <f>IFERROR(VLOOKUP($A3&amp;G$2&amp;$B4,Dados7030!$E$1:$F$360,2,FALSE), VLOOKUP($A3&amp;G$2&amp;$B4,Dados10Fold!$E$1:$F$360,2,FALSE))</f>
        <v>0.5399</v>
      </c>
      <c r="H4" s="5">
        <f>IFERROR(VLOOKUP($A3&amp;H$2&amp;$B4,Dados7030!$E$1:$F$360,2,FALSE), VLOOKUP($A3&amp;H$2&amp;$B4,Dados10Fold!$E$1:$F$360,2,FALSE))</f>
        <v>0.5847</v>
      </c>
      <c r="I4" s="5">
        <f>IFERROR(VLOOKUP($A3&amp;I$2&amp;$B4,Dados7030!$E$1:$F$360,2,FALSE), VLOOKUP($A3&amp;I$2&amp;$B4,Dados10Fold!$E$1:$F$360,2,FALSE))</f>
        <v>0.5236</v>
      </c>
      <c r="J4" s="5">
        <f>IFERROR(VLOOKUP($A3&amp;J$2&amp;$B4,Dados7030!$E$1:$F$360,2,FALSE), VLOOKUP($A3&amp;J$2&amp;$B4,Dados10Fold!$E$1:$F$360,2,FALSE))</f>
        <v>0.5621</v>
      </c>
      <c r="K4" s="5">
        <f>IFERROR(VLOOKUP($A3&amp;K$2&amp;$B4,Dados7030!$E$1:$F$360,2,FALSE), VLOOKUP($A3&amp;K$2&amp;$B4,Dados10Fold!$E$1:$F$360,2,FALSE))</f>
        <v>0.5065</v>
      </c>
      <c r="L4" s="5">
        <f>IFERROR(VLOOKUP($A3&amp;L$2&amp;$B4,Dados7030!$E$1:$F$360,2,FALSE), VLOOKUP($A3&amp;L$2&amp;$B4,Dados10Fold!$E$1:$F$360,2,FALSE))</f>
        <v>0.5432</v>
      </c>
      <c r="M4" s="8"/>
    </row>
    <row r="5">
      <c r="A5" s="9" t="s">
        <v>16</v>
      </c>
      <c r="B5" s="10" t="s">
        <v>15</v>
      </c>
      <c r="C5" s="11">
        <f>IFERROR(VLOOKUP($A5&amp;C$2&amp;$B5,Dados7030!$E$1:$F$360,2,FALSE), VLOOKUP($A5&amp;C$2&amp;$B5,Dados10Fold!$E$1:$F$360,2,FALSE))</f>
        <v>0.6202</v>
      </c>
      <c r="D5" s="11">
        <f>IFERROR(VLOOKUP($A5&amp;D$2&amp;$B5,Dados7030!$E$1:$F$360,2,FALSE), VLOOKUP($A5&amp;D$2&amp;$B5,Dados10Fold!$E$1:$F$360,2,FALSE))</f>
        <v>0.6631</v>
      </c>
      <c r="E5" s="11">
        <f>IFERROR(VLOOKUP($A5&amp;E$2&amp;$B5,Dados7030!$E$1:$F$360,2,FALSE), VLOOKUP($A5&amp;E$2&amp;$B5,Dados10Fold!$E$1:$F$360,2,FALSE))</f>
        <v>0.6126</v>
      </c>
      <c r="F5" s="11">
        <f>IFERROR(VLOOKUP($A5&amp;F$2&amp;$B5,Dados7030!$E$1:$F$360,2,FALSE), VLOOKUP($A5&amp;F$2&amp;$B5,Dados10Fold!$E$1:$F$360,2,FALSE))</f>
        <v>0.6476</v>
      </c>
      <c r="G5" s="11">
        <f>IFERROR(VLOOKUP($A5&amp;G$2&amp;$B5,Dados7030!$E$1:$F$360,2,FALSE), VLOOKUP($A5&amp;G$2&amp;$B5,Dados10Fold!$E$1:$F$360,2,FALSE))</f>
        <v>0.5922</v>
      </c>
      <c r="H5" s="11">
        <f>IFERROR(VLOOKUP($A5&amp;H$2&amp;$B5,Dados7030!$E$1:$F$360,2,FALSE), VLOOKUP($A5&amp;H$2&amp;$B5,Dados10Fold!$E$1:$F$360,2,FALSE))</f>
        <v>0.631</v>
      </c>
      <c r="I5" s="11">
        <f>IFERROR(VLOOKUP($A5&amp;I$2&amp;$B5,Dados7030!$E$1:$F$360,2,FALSE), VLOOKUP($A5&amp;I$2&amp;$B5,Dados10Fold!$E$1:$F$360,2,FALSE))</f>
        <v>0.592</v>
      </c>
      <c r="J5" s="11">
        <f>IFERROR(VLOOKUP($A5&amp;J$2&amp;$B5,Dados7030!$E$1:$F$360,2,FALSE), VLOOKUP($A5&amp;J$2&amp;$B5,Dados10Fold!$E$1:$F$360,2,FALSE))</f>
        <v>0.6242</v>
      </c>
      <c r="K5" s="11">
        <f>IFERROR(VLOOKUP($A5&amp;K$2&amp;$B5,Dados7030!$E$1:$F$360,2,FALSE), VLOOKUP($A5&amp;K$2&amp;$B5,Dados10Fold!$E$1:$F$360,2,FALSE))</f>
        <v>0.5719</v>
      </c>
      <c r="L5" s="11">
        <f>IFERROR(VLOOKUP($A5&amp;L$2&amp;$B5,Dados7030!$E$1:$F$360,2,FALSE), VLOOKUP($A5&amp;L$2&amp;$B5,Dados10Fold!$E$1:$F$360,2,FALSE))</f>
        <v>0.5993</v>
      </c>
      <c r="M5" s="6">
        <f>MEDIAN(C5:L6)</f>
        <v>0.6195</v>
      </c>
      <c r="O5" s="7" t="s">
        <v>18</v>
      </c>
    </row>
    <row r="6">
      <c r="B6" s="10" t="s">
        <v>17</v>
      </c>
      <c r="C6" s="11">
        <f>IFERROR(VLOOKUP($A5&amp;C$2&amp;$B6,Dados7030!$E$1:$F$360,2,FALSE), VLOOKUP($A5&amp;C$2&amp;$B6,Dados10Fold!$E$1:$F$360,2,FALSE))</f>
        <v>0.6453</v>
      </c>
      <c r="D6" s="11">
        <f>IFERROR(VLOOKUP($A5&amp;D$2&amp;$B6,Dados7030!$E$1:$F$360,2,FALSE), VLOOKUP($A5&amp;D$2&amp;$B6,Dados10Fold!$E$1:$F$360,2,FALSE))</f>
        <v>0.6743</v>
      </c>
      <c r="E6" s="11">
        <f>IFERROR(VLOOKUP($A5&amp;E$2&amp;$B6,Dados7030!$E$1:$F$360,2,FALSE), VLOOKUP($A5&amp;E$2&amp;$B6,Dados10Fold!$E$1:$F$360,2,FALSE))</f>
        <v>0.6188</v>
      </c>
      <c r="F6" s="11">
        <f>IFERROR(VLOOKUP($A5&amp;F$2&amp;$B6,Dados7030!$E$1:$F$360,2,FALSE), VLOOKUP($A5&amp;F$2&amp;$B6,Dados10Fold!$E$1:$F$360,2,FALSE))</f>
        <v>0.6535</v>
      </c>
      <c r="G6" s="11">
        <f>IFERROR(VLOOKUP($A5&amp;G$2&amp;$B6,Dados7030!$E$1:$F$360,2,FALSE), VLOOKUP($A5&amp;G$2&amp;$B6,Dados10Fold!$E$1:$F$360,2,FALSE))</f>
        <v>0.6086</v>
      </c>
      <c r="H6" s="11">
        <f>IFERROR(VLOOKUP($A5&amp;H$2&amp;$B6,Dados7030!$E$1:$F$360,2,FALSE), VLOOKUP($A5&amp;H$2&amp;$B6,Dados10Fold!$E$1:$F$360,2,FALSE))</f>
        <v>0.6367</v>
      </c>
      <c r="I6" s="11">
        <f>IFERROR(VLOOKUP($A5&amp;I$2&amp;$B6,Dados7030!$E$1:$F$360,2,FALSE), VLOOKUP($A5&amp;I$2&amp;$B6,Dados10Fold!$E$1:$F$360,2,FALSE))</f>
        <v>0.5964</v>
      </c>
      <c r="J6" s="11">
        <f>IFERROR(VLOOKUP($A5&amp;J$2&amp;$B6,Dados7030!$E$1:$F$360,2,FALSE), VLOOKUP($A5&amp;J$2&amp;$B6,Dados10Fold!$E$1:$F$360,2,FALSE))</f>
        <v>0.6294</v>
      </c>
      <c r="K6" s="11">
        <f>IFERROR(VLOOKUP($A5&amp;K$2&amp;$B6,Dados7030!$E$1:$F$360,2,FALSE), VLOOKUP($A5&amp;K$2&amp;$B6,Dados10Fold!$E$1:$F$360,2,FALSE))</f>
        <v>0.5864</v>
      </c>
      <c r="L6" s="11">
        <f>IFERROR(VLOOKUP($A5&amp;L$2&amp;$B6,Dados7030!$E$1:$F$360,2,FALSE), VLOOKUP($A5&amp;L$2&amp;$B6,Dados10Fold!$E$1:$F$360,2,FALSE))</f>
        <v>0.6159</v>
      </c>
      <c r="M6" s="8"/>
    </row>
    <row r="7">
      <c r="A7" s="3" t="s">
        <v>19</v>
      </c>
      <c r="B7" s="4" t="s">
        <v>15</v>
      </c>
      <c r="C7" s="5">
        <f>IFERROR(VLOOKUP($A7&amp;C$2&amp;$B7,Dados7030!$E$1:$F$360,2,FALSE), VLOOKUP($A7&amp;C$2&amp;$B7,Dados10Fold!$E$1:$F$360,2,FALSE))</f>
        <v>0.5696</v>
      </c>
      <c r="D7" s="5">
        <f>IFERROR(VLOOKUP($A7&amp;D$2&amp;$B7,Dados7030!$E$1:$F$360,2,FALSE), VLOOKUP($A7&amp;D$2&amp;$B7,Dados10Fold!$E$1:$F$360,2,FALSE))</f>
        <v>0.6255</v>
      </c>
      <c r="E7" s="5">
        <f>IFERROR(VLOOKUP($A7&amp;E$2&amp;$B7,Dados7030!$E$1:$F$360,2,FALSE), VLOOKUP($A7&amp;E$2&amp;$B7,Dados10Fold!$E$1:$F$360,2,FALSE))</f>
        <v>0.5657</v>
      </c>
      <c r="F7" s="5">
        <f>IFERROR(VLOOKUP($A7&amp;F$2&amp;$B7,Dados7030!$E$1:$F$360,2,FALSE), VLOOKUP($A7&amp;F$2&amp;$B7,Dados10Fold!$E$1:$F$360,2,FALSE))</f>
        <v>0.6132</v>
      </c>
      <c r="G7" s="5">
        <f>IFERROR(VLOOKUP($A7&amp;G$2&amp;$B7,Dados7030!$E$1:$F$360,2,FALSE), VLOOKUP($A7&amp;G$2&amp;$B7,Dados10Fold!$E$1:$F$360,2,FALSE))</f>
        <v>0.5533</v>
      </c>
      <c r="H7" s="5">
        <f>IFERROR(VLOOKUP($A7&amp;H$2&amp;$B7,Dados7030!$E$1:$F$360,2,FALSE), VLOOKUP($A7&amp;H$2&amp;$B7,Dados10Fold!$E$1:$F$360,2,FALSE))</f>
        <v>0.5941</v>
      </c>
      <c r="I7" s="5">
        <f>IFERROR(VLOOKUP($A7&amp;I$2&amp;$B7,Dados7030!$E$1:$F$360,2,FALSE), VLOOKUP($A7&amp;I$2&amp;$B7,Dados10Fold!$E$1:$F$360,2,FALSE))</f>
        <v>0.5405</v>
      </c>
      <c r="J7" s="5">
        <f>IFERROR(VLOOKUP($A7&amp;J$2&amp;$B7,Dados7030!$E$1:$F$360,2,FALSE), VLOOKUP($A7&amp;J$2&amp;$B7,Dados10Fold!$E$1:$F$360,2,FALSE))</f>
        <v>0.5922</v>
      </c>
      <c r="K7" s="5">
        <f>IFERROR(VLOOKUP($A7&amp;K$2&amp;$B7,Dados7030!$E$1:$F$360,2,FALSE), VLOOKUP($A7&amp;K$2&amp;$B7,Dados10Fold!$E$1:$F$360,2,FALSE))</f>
        <v>0.5307</v>
      </c>
      <c r="L7" s="5">
        <f>IFERROR(VLOOKUP($A7&amp;L$2&amp;$B7,Dados7030!$E$1:$F$360,2,FALSE), VLOOKUP($A7&amp;L$2&amp;$B7,Dados10Fold!$E$1:$F$360,2,FALSE))</f>
        <v>0.5694</v>
      </c>
      <c r="M7" s="6">
        <f>MEDIAN(C7:L8)</f>
        <v>0.57335</v>
      </c>
      <c r="O7" s="7" t="s">
        <v>20</v>
      </c>
    </row>
    <row r="8">
      <c r="B8" s="4" t="s">
        <v>17</v>
      </c>
      <c r="C8" s="5">
        <f>IFERROR(VLOOKUP($A7&amp;C$2&amp;$B8,Dados7030!$E$1:$F$360,2,FALSE), VLOOKUP($A7&amp;C$2&amp;$B8,Dados10Fold!$E$1:$F$360,2,FALSE))</f>
        <v>0.6007</v>
      </c>
      <c r="D8" s="5">
        <f>IFERROR(VLOOKUP($A7&amp;D$2&amp;$B8,Dados7030!$E$1:$F$360,2,FALSE), VLOOKUP($A7&amp;D$2&amp;$B8,Dados10Fold!$E$1:$F$360,2,FALSE))</f>
        <v>0.6372</v>
      </c>
      <c r="E8" s="5">
        <f>IFERROR(VLOOKUP($A7&amp;E$2&amp;$B8,Dados7030!$E$1:$F$360,2,FALSE), VLOOKUP($A7&amp;E$2&amp;$B8,Dados10Fold!$E$1:$F$360,2,FALSE))</f>
        <v>0.5763</v>
      </c>
      <c r="F8" s="5">
        <f>IFERROR(VLOOKUP($A7&amp;F$2&amp;$B8,Dados7030!$E$1:$F$360,2,FALSE), VLOOKUP($A7&amp;F$2&amp;$B8,Dados10Fold!$E$1:$F$360,2,FALSE))</f>
        <v>0.6155</v>
      </c>
      <c r="G8" s="5">
        <f>IFERROR(VLOOKUP($A7&amp;G$2&amp;$B8,Dados7030!$E$1:$F$360,2,FALSE), VLOOKUP($A7&amp;G$2&amp;$B8,Dados10Fold!$E$1:$F$360,2,FALSE))</f>
        <v>0.5596</v>
      </c>
      <c r="H8" s="5">
        <f>IFERROR(VLOOKUP($A7&amp;H$2&amp;$B8,Dados7030!$E$1:$F$360,2,FALSE), VLOOKUP($A7&amp;H$2&amp;$B8,Dados10Fold!$E$1:$F$360,2,FALSE))</f>
        <v>0.6037</v>
      </c>
      <c r="I8" s="5">
        <f>IFERROR(VLOOKUP($A7&amp;I$2&amp;$B8,Dados7030!$E$1:$F$360,2,FALSE), VLOOKUP($A7&amp;I$2&amp;$B8,Dados10Fold!$E$1:$F$360,2,FALSE))</f>
        <v>0.5434</v>
      </c>
      <c r="J8" s="5">
        <f>IFERROR(VLOOKUP($A7&amp;J$2&amp;$B8,Dados7030!$E$1:$F$360,2,FALSE), VLOOKUP($A7&amp;J$2&amp;$B8,Dados10Fold!$E$1:$F$360,2,FALSE))</f>
        <v>0.5847</v>
      </c>
      <c r="K8" s="5">
        <f>IFERROR(VLOOKUP($A7&amp;K$2&amp;$B8,Dados7030!$E$1:$F$360,2,FALSE), VLOOKUP($A7&amp;K$2&amp;$B8,Dados10Fold!$E$1:$F$360,2,FALSE))</f>
        <v>0.5345</v>
      </c>
      <c r="L8" s="5">
        <f>IFERROR(VLOOKUP($A7&amp;L$2&amp;$B8,Dados7030!$E$1:$F$360,2,FALSE), VLOOKUP($A7&amp;L$2&amp;$B8,Dados10Fold!$E$1:$F$360,2,FALSE))</f>
        <v>0.5704</v>
      </c>
      <c r="M8" s="8"/>
    </row>
    <row r="9">
      <c r="A9" s="9" t="s">
        <v>18</v>
      </c>
      <c r="B9" s="10" t="s">
        <v>15</v>
      </c>
      <c r="C9" s="11">
        <f>IFERROR(VLOOKUP($A9&amp;C$2&amp;$B9,Dados7030!$E$1:$F$360,2,FALSE), VLOOKUP($A9&amp;C$2&amp;$B9,Dados10Fold!$E$1:$F$360,2,FALSE))</f>
        <v>0.6448</v>
      </c>
      <c r="D9" s="11">
        <f>IFERROR(VLOOKUP($A9&amp;D$2&amp;$B9,Dados7030!$E$1:$F$360,2,FALSE), VLOOKUP($A9&amp;D$2&amp;$B9,Dados10Fold!$E$1:$F$360,2,FALSE))</f>
        <v>0.6636</v>
      </c>
      <c r="E9" s="11">
        <f>IFERROR(VLOOKUP($A9&amp;E$2&amp;$B9,Dados7030!$E$1:$F$360,2,FALSE), VLOOKUP($A9&amp;E$2&amp;$B9,Dados10Fold!$E$1:$F$360,2,FALSE))</f>
        <v>0.6268</v>
      </c>
      <c r="F9" s="11">
        <f>IFERROR(VLOOKUP($A9&amp;F$2&amp;$B9,Dados7030!$E$1:$F$360,2,FALSE), VLOOKUP($A9&amp;F$2&amp;$B9,Dados10Fold!$E$1:$F$360,2,FALSE))</f>
        <v>0.6673</v>
      </c>
      <c r="G9" s="11">
        <f>IFERROR(VLOOKUP($A9&amp;G$2&amp;$B9,Dados7030!$E$1:$F$360,2,FALSE), VLOOKUP($A9&amp;G$2&amp;$B9,Dados10Fold!$E$1:$F$360,2,FALSE))</f>
        <v>0.6236</v>
      </c>
      <c r="H9" s="11">
        <f>IFERROR(VLOOKUP($A9&amp;H$2&amp;$B9,Dados7030!$E$1:$F$360,2,FALSE), VLOOKUP($A9&amp;H$2&amp;$B9,Dados10Fold!$E$1:$F$360,2,FALSE))</f>
        <v>0.6634</v>
      </c>
      <c r="I9" s="11">
        <f>IFERROR(VLOOKUP($A9&amp;I$2&amp;$B9,Dados7030!$E$1:$F$360,2,FALSE), VLOOKUP($A9&amp;I$2&amp;$B9,Dados10Fold!$E$1:$F$360,2,FALSE))</f>
        <v>0.6186</v>
      </c>
      <c r="J9" s="11">
        <f>IFERROR(VLOOKUP($A9&amp;J$2&amp;$B9,Dados7030!$E$1:$F$360,2,FALSE), VLOOKUP($A9&amp;J$2&amp;$B9,Dados10Fold!$E$1:$F$360,2,FALSE))</f>
        <v>0.6569</v>
      </c>
      <c r="K9" s="11">
        <f>IFERROR(VLOOKUP($A9&amp;K$2&amp;$B9,Dados7030!$E$1:$F$360,2,FALSE), VLOOKUP($A9&amp;K$2&amp;$B9,Dados10Fold!$E$1:$F$360,2,FALSE))</f>
        <v>0.6102</v>
      </c>
      <c r="L9" s="11">
        <f>IFERROR(VLOOKUP($A9&amp;L$2&amp;$B9,Dados7030!$E$1:$F$360,2,FALSE), VLOOKUP($A9&amp;L$2&amp;$B9,Dados10Fold!$E$1:$F$360,2,FALSE))</f>
        <v>0.6434</v>
      </c>
      <c r="M9" s="6">
        <f>MEDIAN(C9:L10)</f>
        <v>0.64135</v>
      </c>
      <c r="O9" s="7" t="s">
        <v>21</v>
      </c>
    </row>
    <row r="10">
      <c r="B10" s="10" t="s">
        <v>17</v>
      </c>
      <c r="C10" s="11">
        <f>IFERROR(VLOOKUP($A9&amp;C$2&amp;$B10,Dados7030!$E$1:$F$360,2,FALSE), VLOOKUP($A9&amp;C$2&amp;$B10,Dados10Fold!$E$1:$F$360,2,FALSE))</f>
        <v>0.6374</v>
      </c>
      <c r="D10" s="11">
        <f>IFERROR(VLOOKUP($A9&amp;D$2&amp;$B10,Dados7030!$E$1:$F$360,2,FALSE), VLOOKUP($A9&amp;D$2&amp;$B10,Dados10Fold!$E$1:$F$360,2,FALSE))</f>
        <v>0.6714</v>
      </c>
      <c r="E10" s="11">
        <f>IFERROR(VLOOKUP($A9&amp;E$2&amp;$B10,Dados7030!$E$1:$F$360,2,FALSE), VLOOKUP($A9&amp;E$2&amp;$B10,Dados10Fold!$E$1:$F$360,2,FALSE))</f>
        <v>0.6356</v>
      </c>
      <c r="F10" s="11">
        <f>IFERROR(VLOOKUP($A9&amp;F$2&amp;$B10,Dados7030!$E$1:$F$360,2,FALSE), VLOOKUP($A9&amp;F$2&amp;$B10,Dados10Fold!$E$1:$F$360,2,FALSE))</f>
        <v>0.6729</v>
      </c>
      <c r="G10" s="11">
        <f>IFERROR(VLOOKUP($A9&amp;G$2&amp;$B10,Dados7030!$E$1:$F$360,2,FALSE), VLOOKUP($A9&amp;G$2&amp;$B10,Dados10Fold!$E$1:$F$360,2,FALSE))</f>
        <v>0.6281</v>
      </c>
      <c r="H10" s="11">
        <f>IFERROR(VLOOKUP($A9&amp;H$2&amp;$B10,Dados7030!$E$1:$F$360,2,FALSE), VLOOKUP($A9&amp;H$2&amp;$B10,Dados10Fold!$E$1:$F$360,2,FALSE))</f>
        <v>0.6586</v>
      </c>
      <c r="I10" s="11">
        <f>IFERROR(VLOOKUP($A9&amp;I$2&amp;$B10,Dados7030!$E$1:$F$360,2,FALSE), VLOOKUP($A9&amp;I$2&amp;$B10,Dados10Fold!$E$1:$F$360,2,FALSE))</f>
        <v>0.6147</v>
      </c>
      <c r="J10" s="11">
        <f>IFERROR(VLOOKUP($A9&amp;J$2&amp;$B10,Dados7030!$E$1:$F$360,2,FALSE), VLOOKUP($A9&amp;J$2&amp;$B10,Dados10Fold!$E$1:$F$360,2,FALSE))</f>
        <v>0.6485</v>
      </c>
      <c r="K10" s="11">
        <f>IFERROR(VLOOKUP($A9&amp;K$2&amp;$B10,Dados7030!$E$1:$F$360,2,FALSE), VLOOKUP($A9&amp;K$2&amp;$B10,Dados10Fold!$E$1:$F$360,2,FALSE))</f>
        <v>0.6134</v>
      </c>
      <c r="L10" s="11">
        <f>IFERROR(VLOOKUP($A9&amp;L$2&amp;$B10,Dados7030!$E$1:$F$360,2,FALSE), VLOOKUP($A9&amp;L$2&amp;$B10,Dados10Fold!$E$1:$F$360,2,FALSE))</f>
        <v>0.6393</v>
      </c>
      <c r="M10" s="8"/>
    </row>
    <row r="11">
      <c r="A11" s="9" t="s">
        <v>20</v>
      </c>
      <c r="B11" s="10" t="s">
        <v>15</v>
      </c>
      <c r="C11" s="11">
        <f>IFERROR(VLOOKUP($A11&amp;C$2&amp;$B11,Dados7030!$E$1:$F$360,2,FALSE), VLOOKUP($A11&amp;C$2&amp;$B11,Dados10Fold!$E$1:$F$360,2,FALSE))</f>
        <v>0.6502</v>
      </c>
      <c r="D11" s="11">
        <f>IFERROR(VLOOKUP($A11&amp;D$2&amp;$B11,Dados7030!$E$1:$F$360,2,FALSE), VLOOKUP($A11&amp;D$2&amp;$B11,Dados10Fold!$E$1:$F$360,2,FALSE))</f>
        <v>0.6771</v>
      </c>
      <c r="E11" s="11">
        <f>IFERROR(VLOOKUP($A11&amp;E$2&amp;$B11,Dados7030!$E$1:$F$360,2,FALSE), VLOOKUP($A11&amp;E$2&amp;$B11,Dados10Fold!$E$1:$F$360,2,FALSE))</f>
        <v>0.6666</v>
      </c>
      <c r="F11" s="11">
        <f>IFERROR(VLOOKUP($A11&amp;F$2&amp;$B11,Dados7030!$E$1:$F$360,2,FALSE), VLOOKUP($A11&amp;F$2&amp;$B11,Dados10Fold!$E$1:$F$360,2,FALSE))</f>
        <v>0.6942</v>
      </c>
      <c r="G11" s="11">
        <f>IFERROR(VLOOKUP($A11&amp;G$2&amp;$B11,Dados7030!$E$1:$F$360,2,FALSE), VLOOKUP($A11&amp;G$2&amp;$B11,Dados10Fold!$E$1:$F$360,2,FALSE))</f>
        <v>0.6751</v>
      </c>
      <c r="H11" s="11">
        <f>IFERROR(VLOOKUP($A11&amp;H$2&amp;$B11,Dados7030!$E$1:$F$360,2,FALSE), VLOOKUP($A11&amp;H$2&amp;$B11,Dados10Fold!$E$1:$F$360,2,FALSE))</f>
        <v>0.7032</v>
      </c>
      <c r="I11" s="11">
        <f>IFERROR(VLOOKUP($A11&amp;I$2&amp;$B11,Dados7030!$E$1:$F$360,2,FALSE), VLOOKUP($A11&amp;I$2&amp;$B11,Dados10Fold!$E$1:$F$360,2,FALSE))</f>
        <v>0.6776</v>
      </c>
      <c r="J11" s="11">
        <f>IFERROR(VLOOKUP($A11&amp;J$2&amp;$B11,Dados7030!$E$1:$F$360,2,FALSE), VLOOKUP($A11&amp;J$2&amp;$B11,Dados10Fold!$E$1:$F$360,2,FALSE))</f>
        <v>0.7051</v>
      </c>
      <c r="K11" s="11">
        <f>IFERROR(VLOOKUP($A11&amp;K$2&amp;$B11,Dados7030!$E$1:$F$360,2,FALSE), VLOOKUP($A11&amp;K$2&amp;$B11,Dados10Fold!$E$1:$F$360,2,FALSE))</f>
        <v>0.6792</v>
      </c>
      <c r="L11" s="11">
        <f>IFERROR(VLOOKUP($A11&amp;L$2&amp;$B11,Dados7030!$E$1:$F$360,2,FALSE), VLOOKUP($A11&amp;L$2&amp;$B11,Dados10Fold!$E$1:$F$360,2,FALSE))</f>
        <v>0.7029</v>
      </c>
      <c r="M11" s="6">
        <f>MEDIAN(C11:L12)</f>
        <v>0.67735</v>
      </c>
      <c r="O11" s="7" t="s">
        <v>22</v>
      </c>
    </row>
    <row r="12">
      <c r="B12" s="10" t="s">
        <v>17</v>
      </c>
      <c r="C12" s="11">
        <f>IFERROR(VLOOKUP($A11&amp;C$2&amp;$B12,Dados7030!$E$1:$F$360,2,FALSE), VLOOKUP($A11&amp;C$2&amp;$B12,Dados10Fold!$E$1:$F$360,2,FALSE))</f>
        <v>0.6549</v>
      </c>
      <c r="D12" s="11">
        <f>IFERROR(VLOOKUP($A11&amp;D$2&amp;$B12,Dados7030!$E$1:$F$360,2,FALSE), VLOOKUP($A11&amp;D$2&amp;$B12,Dados10Fold!$E$1:$F$360,2,FALSE))</f>
        <v>0.671</v>
      </c>
      <c r="E12" s="11">
        <f>IFERROR(VLOOKUP($A11&amp;E$2&amp;$B12,Dados7030!$E$1:$F$360,2,FALSE), VLOOKUP($A11&amp;E$2&amp;$B12,Dados10Fold!$E$1:$F$360,2,FALSE))</f>
        <v>0.6648</v>
      </c>
      <c r="F12" s="11">
        <f>IFERROR(VLOOKUP($A11&amp;F$2&amp;$B12,Dados7030!$E$1:$F$360,2,FALSE), VLOOKUP($A11&amp;F$2&amp;$B12,Dados10Fold!$E$1:$F$360,2,FALSE))</f>
        <v>0.6973</v>
      </c>
      <c r="G12" s="11">
        <f>IFERROR(VLOOKUP($A11&amp;G$2&amp;$B12,Dados7030!$E$1:$F$360,2,FALSE), VLOOKUP($A11&amp;G$2&amp;$B12,Dados10Fold!$E$1:$F$360,2,FALSE))</f>
        <v>0.6738</v>
      </c>
      <c r="H12" s="11">
        <f>IFERROR(VLOOKUP($A11&amp;H$2&amp;$B12,Dados7030!$E$1:$F$360,2,FALSE), VLOOKUP($A11&amp;H$2&amp;$B12,Dados10Fold!$E$1:$F$360,2,FALSE))</f>
        <v>0.698</v>
      </c>
      <c r="I12" s="11">
        <f>IFERROR(VLOOKUP($A11&amp;I$2&amp;$B12,Dados7030!$E$1:$F$360,2,FALSE), VLOOKUP($A11&amp;I$2&amp;$B12,Dados10Fold!$E$1:$F$360,2,FALSE))</f>
        <v>0.6718</v>
      </c>
      <c r="J12" s="11">
        <f>IFERROR(VLOOKUP($A11&amp;J$2&amp;$B12,Dados7030!$E$1:$F$360,2,FALSE), VLOOKUP($A11&amp;J$2&amp;$B12,Dados10Fold!$E$1:$F$360,2,FALSE))</f>
        <v>0.6958</v>
      </c>
      <c r="K12" s="11">
        <f>IFERROR(VLOOKUP($A11&amp;K$2&amp;$B12,Dados7030!$E$1:$F$360,2,FALSE), VLOOKUP($A11&amp;K$2&amp;$B12,Dados10Fold!$E$1:$F$360,2,FALSE))</f>
        <v>0.6704</v>
      </c>
      <c r="L12" s="11">
        <f>IFERROR(VLOOKUP($A11&amp;L$2&amp;$B12,Dados7030!$E$1:$F$360,2,FALSE), VLOOKUP($A11&amp;L$2&amp;$B12,Dados10Fold!$E$1:$F$360,2,FALSE))</f>
        <v>0.7017</v>
      </c>
      <c r="M12" s="8"/>
    </row>
    <row r="13">
      <c r="A13" s="9" t="s">
        <v>21</v>
      </c>
      <c r="B13" s="10" t="s">
        <v>15</v>
      </c>
      <c r="C13" s="11">
        <f>IFERROR(VLOOKUP($A13&amp;C$2&amp;$B13,Dados7030!$E$1:$F$360,2,FALSE), VLOOKUP($A13&amp;C$2&amp;$B13,Dados10Fold!$E$1:$F$360,2,FALSE))</f>
        <v>0.6505</v>
      </c>
      <c r="D13" s="11">
        <f>IFERROR(VLOOKUP($A13&amp;D$2&amp;$B13,Dados7030!$E$1:$F$360,2,FALSE), VLOOKUP($A13&amp;D$2&amp;$B13,Dados10Fold!$E$1:$F$360,2,FALSE))</f>
        <v>0.6782</v>
      </c>
      <c r="E13" s="11">
        <f>IFERROR(VLOOKUP($A13&amp;E$2&amp;$B13,Dados7030!$E$1:$F$360,2,FALSE), VLOOKUP($A13&amp;E$2&amp;$B13,Dados10Fold!$E$1:$F$360,2,FALSE))</f>
        <v>0.6655</v>
      </c>
      <c r="F13" s="11">
        <f>IFERROR(VLOOKUP($A13&amp;F$2&amp;$B13,Dados7030!$E$1:$F$360,2,FALSE), VLOOKUP($A13&amp;F$2&amp;$B13,Dados10Fold!$E$1:$F$360,2,FALSE))</f>
        <v>0.7</v>
      </c>
      <c r="G13" s="11">
        <f>IFERROR(VLOOKUP($A13&amp;G$2&amp;$B13,Dados7030!$E$1:$F$360,2,FALSE), VLOOKUP($A13&amp;G$2&amp;$B13,Dados10Fold!$E$1:$F$360,2,FALSE))</f>
        <v>0.6604</v>
      </c>
      <c r="H13" s="11">
        <f>IFERROR(VLOOKUP($A13&amp;H$2&amp;$B13,Dados7030!$E$1:$F$360,2,FALSE), VLOOKUP($A13&amp;H$2&amp;$B13,Dados10Fold!$E$1:$F$360,2,FALSE))</f>
        <v>0.6937</v>
      </c>
      <c r="I13" s="11">
        <f>IFERROR(VLOOKUP($A13&amp;I$2&amp;$B13,Dados7030!$E$1:$F$360,2,FALSE), VLOOKUP($A13&amp;I$2&amp;$B13,Dados10Fold!$E$1:$F$360,2,FALSE))</f>
        <v>0.6498</v>
      </c>
      <c r="J13" s="11">
        <f>IFERROR(VLOOKUP($A13&amp;J$2&amp;$B13,Dados7030!$E$1:$F$360,2,FALSE), VLOOKUP($A13&amp;J$2&amp;$B13,Dados10Fold!$E$1:$F$360,2,FALSE))</f>
        <v>0.6934</v>
      </c>
      <c r="K13" s="11">
        <f>IFERROR(VLOOKUP($A13&amp;K$2&amp;$B13,Dados7030!$E$1:$F$360,2,FALSE), VLOOKUP($A13&amp;K$2&amp;$B13,Dados10Fold!$E$1:$F$360,2,FALSE))</f>
        <v>0.6478</v>
      </c>
      <c r="L13" s="11">
        <f>IFERROR(VLOOKUP($A13&amp;L$2&amp;$B13,Dados7030!$E$1:$F$360,2,FALSE), VLOOKUP($A13&amp;L$2&amp;$B13,Dados10Fold!$E$1:$F$360,2,FALSE))</f>
        <v>0.6792</v>
      </c>
      <c r="M13" s="6">
        <f>MEDIAN(C13:L14)</f>
        <v>0.66755</v>
      </c>
      <c r="O13" s="7" t="s">
        <v>23</v>
      </c>
    </row>
    <row r="14">
      <c r="B14" s="10" t="s">
        <v>17</v>
      </c>
      <c r="C14" s="11">
        <f>IFERROR(VLOOKUP($A13&amp;C$2&amp;$B14,Dados7030!$E$1:$F$360,2,FALSE), VLOOKUP($A13&amp;C$2&amp;$B14,Dados10Fold!$E$1:$F$360,2,FALSE))</f>
        <v>0.6445</v>
      </c>
      <c r="D14" s="11">
        <f>IFERROR(VLOOKUP($A13&amp;D$2&amp;$B14,Dados7030!$E$1:$F$360,2,FALSE), VLOOKUP($A13&amp;D$2&amp;$B14,Dados10Fold!$E$1:$F$360,2,FALSE))</f>
        <v>0.6777</v>
      </c>
      <c r="E14" s="11">
        <f>IFERROR(VLOOKUP($A13&amp;E$2&amp;$B14,Dados7030!$E$1:$F$360,2,FALSE), VLOOKUP($A13&amp;E$2&amp;$B14,Dados10Fold!$E$1:$F$360,2,FALSE))</f>
        <v>0.6436</v>
      </c>
      <c r="F14" s="11">
        <f>IFERROR(VLOOKUP($A13&amp;F$2&amp;$B14,Dados7030!$E$1:$F$360,2,FALSE), VLOOKUP($A13&amp;F$2&amp;$B14,Dados10Fold!$E$1:$F$360,2,FALSE))</f>
        <v>0.6873</v>
      </c>
      <c r="G14" s="11">
        <f>IFERROR(VLOOKUP($A13&amp;G$2&amp;$B14,Dados7030!$E$1:$F$360,2,FALSE), VLOOKUP($A13&amp;G$2&amp;$B14,Dados10Fold!$E$1:$F$360,2,FALSE))</f>
        <v>0.6528</v>
      </c>
      <c r="H14" s="11">
        <f>IFERROR(VLOOKUP($A13&amp;H$2&amp;$B14,Dados7030!$E$1:$F$360,2,FALSE), VLOOKUP($A13&amp;H$2&amp;$B14,Dados10Fold!$E$1:$F$360,2,FALSE))</f>
        <v>0.6941</v>
      </c>
      <c r="I14" s="11">
        <f>IFERROR(VLOOKUP($A13&amp;I$2&amp;$B14,Dados7030!$E$1:$F$360,2,FALSE), VLOOKUP($A13&amp;I$2&amp;$B14,Dados10Fold!$E$1:$F$360,2,FALSE))</f>
        <v>0.6455</v>
      </c>
      <c r="J14" s="11">
        <f>IFERROR(VLOOKUP($A13&amp;J$2&amp;$B14,Dados7030!$E$1:$F$360,2,FALSE), VLOOKUP($A13&amp;J$2&amp;$B14,Dados10Fold!$E$1:$F$360,2,FALSE))</f>
        <v>0.6813</v>
      </c>
      <c r="K14" s="11">
        <f>IFERROR(VLOOKUP($A13&amp;K$2&amp;$B14,Dados7030!$E$1:$F$360,2,FALSE), VLOOKUP($A13&amp;K$2&amp;$B14,Dados10Fold!$E$1:$F$360,2,FALSE))</f>
        <v>0.64</v>
      </c>
      <c r="L14" s="11">
        <f>IFERROR(VLOOKUP($A13&amp;L$2&amp;$B14,Dados7030!$E$1:$F$360,2,FALSE), VLOOKUP($A13&amp;L$2&amp;$B14,Dados10Fold!$E$1:$F$360,2,FALSE))</f>
        <v>0.6696</v>
      </c>
      <c r="M14" s="8"/>
    </row>
    <row r="15">
      <c r="A15" s="3" t="s">
        <v>24</v>
      </c>
      <c r="B15" s="4" t="s">
        <v>15</v>
      </c>
      <c r="C15" s="5">
        <f>IFERROR(VLOOKUP($A15&amp;C$2&amp;$B15,Dados7030!$E$1:$F$360,2,FALSE), VLOOKUP($A15&amp;C$2&amp;$B15,Dados10Fold!$E$1:$F$360,2,FALSE))</f>
        <v>0.5236</v>
      </c>
      <c r="D15" s="5">
        <f>IFERROR(VLOOKUP($A15&amp;D$2&amp;$B15,Dados7030!$E$1:$F$360,2,FALSE), VLOOKUP($A15&amp;D$2&amp;$B15,Dados10Fold!$E$1:$F$360,2,FALSE))</f>
        <v>0.5574</v>
      </c>
      <c r="E15" s="5">
        <f>IFERROR(VLOOKUP($A15&amp;E$2&amp;$B15,Dados7030!$E$1:$F$360,2,FALSE), VLOOKUP($A15&amp;E$2&amp;$B15,Dados10Fold!$E$1:$F$360,2,FALSE))</f>
        <v>0.4975</v>
      </c>
      <c r="F15" s="5">
        <f>IFERROR(VLOOKUP($A15&amp;F$2&amp;$B15,Dados7030!$E$1:$F$360,2,FALSE), VLOOKUP($A15&amp;F$2&amp;$B15,Dados10Fold!$E$1:$F$360,2,FALSE))</f>
        <v>0.5514</v>
      </c>
      <c r="G15" s="5">
        <f>IFERROR(VLOOKUP($A15&amp;G$2&amp;$B15,Dados7030!$E$1:$F$360,2,FALSE), VLOOKUP($A15&amp;G$2&amp;$B15,Dados10Fold!$E$1:$F$360,2,FALSE))</f>
        <v>0.458</v>
      </c>
      <c r="H15" s="5">
        <f>IFERROR(VLOOKUP($A15&amp;H$2&amp;$B15,Dados7030!$E$1:$F$360,2,FALSE), VLOOKUP($A15&amp;H$2&amp;$B15,Dados10Fold!$E$1:$F$360,2,FALSE))</f>
        <v>0.5115</v>
      </c>
      <c r="I15" s="5">
        <f>IFERROR(VLOOKUP($A15&amp;I$2&amp;$B15,Dados7030!$E$1:$F$360,2,FALSE), VLOOKUP($A15&amp;I$2&amp;$B15,Dados10Fold!$E$1:$F$360,2,FALSE))</f>
        <v>0.4445</v>
      </c>
      <c r="J15" s="5">
        <f>IFERROR(VLOOKUP($A15&amp;J$2&amp;$B15,Dados7030!$E$1:$F$360,2,FALSE), VLOOKUP($A15&amp;J$2&amp;$B15,Dados10Fold!$E$1:$F$360,2,FALSE))</f>
        <v>0.4805</v>
      </c>
      <c r="K15" s="5">
        <f>IFERROR(VLOOKUP($A15&amp;K$2&amp;$B15,Dados7030!$E$1:$F$360,2,FALSE), VLOOKUP($A15&amp;K$2&amp;$B15,Dados10Fold!$E$1:$F$360,2,FALSE))</f>
        <v>0.4246</v>
      </c>
      <c r="L15" s="5">
        <f>IFERROR(VLOOKUP($A15&amp;L$2&amp;$B15,Dados7030!$E$1:$F$360,2,FALSE), VLOOKUP($A15&amp;L$2&amp;$B15,Dados10Fold!$E$1:$F$360,2,FALSE))</f>
        <v>0.4683</v>
      </c>
      <c r="M15" s="6">
        <f>MEDIAN(C15:L16)</f>
        <v>0.4991</v>
      </c>
      <c r="O15" s="7" t="s">
        <v>25</v>
      </c>
    </row>
    <row r="16">
      <c r="B16" s="4" t="s">
        <v>17</v>
      </c>
      <c r="C16" s="5">
        <f>IFERROR(VLOOKUP($A15&amp;C$2&amp;$B16,Dados7030!$E$1:$F$360,2,FALSE), VLOOKUP($A15&amp;C$2&amp;$B16,Dados10Fold!$E$1:$F$360,2,FALSE))</f>
        <v>0.5385</v>
      </c>
      <c r="D16" s="5">
        <f>IFERROR(VLOOKUP($A15&amp;D$2&amp;$B16,Dados7030!$E$1:$F$360,2,FALSE), VLOOKUP($A15&amp;D$2&amp;$B16,Dados10Fold!$E$1:$F$360,2,FALSE))</f>
        <v>0.5716</v>
      </c>
      <c r="E16" s="5">
        <f>IFERROR(VLOOKUP($A15&amp;E$2&amp;$B16,Dados7030!$E$1:$F$360,2,FALSE), VLOOKUP($A15&amp;E$2&amp;$B16,Dados10Fold!$E$1:$F$360,2,FALSE))</f>
        <v>0.5007</v>
      </c>
      <c r="F16" s="5">
        <f>IFERROR(VLOOKUP($A15&amp;F$2&amp;$B16,Dados7030!$E$1:$F$360,2,FALSE), VLOOKUP($A15&amp;F$2&amp;$B16,Dados10Fold!$E$1:$F$360,2,FALSE))</f>
        <v>0.5608</v>
      </c>
      <c r="G16" s="5">
        <f>IFERROR(VLOOKUP($A15&amp;G$2&amp;$B16,Dados7030!$E$1:$F$360,2,FALSE), VLOOKUP($A15&amp;G$2&amp;$B16,Dados10Fold!$E$1:$F$360,2,FALSE))</f>
        <v>0.4809</v>
      </c>
      <c r="H16" s="5">
        <f>IFERROR(VLOOKUP($A15&amp;H$2&amp;$B16,Dados7030!$E$1:$F$360,2,FALSE), VLOOKUP($A15&amp;H$2&amp;$B16,Dados10Fold!$E$1:$F$360,2,FALSE))</f>
        <v>0.5336</v>
      </c>
      <c r="I16" s="5">
        <f>IFERROR(VLOOKUP($A15&amp;I$2&amp;$B16,Dados7030!$E$1:$F$360,2,FALSE), VLOOKUP($A15&amp;I$2&amp;$B16,Dados10Fold!$E$1:$F$360,2,FALSE))</f>
        <v>0.469</v>
      </c>
      <c r="J16" s="5">
        <f>IFERROR(VLOOKUP($A15&amp;J$2&amp;$B16,Dados7030!$E$1:$F$360,2,FALSE), VLOOKUP($A15&amp;J$2&amp;$B16,Dados10Fold!$E$1:$F$360,2,FALSE))</f>
        <v>0.507</v>
      </c>
      <c r="K16" s="5">
        <f>IFERROR(VLOOKUP($A15&amp;K$2&amp;$B16,Dados7030!$E$1:$F$360,2,FALSE), VLOOKUP($A15&amp;K$2&amp;$B16,Dados10Fold!$E$1:$F$360,2,FALSE))</f>
        <v>0.4488</v>
      </c>
      <c r="L16" s="5">
        <f>IFERROR(VLOOKUP($A15&amp;L$2&amp;$B16,Dados7030!$E$1:$F$360,2,FALSE), VLOOKUP($A15&amp;L$2&amp;$B16,Dados10Fold!$E$1:$F$360,2,FALSE))</f>
        <v>0.4895</v>
      </c>
      <c r="M16" s="8"/>
    </row>
    <row r="17">
      <c r="A17" s="1" t="s">
        <v>26</v>
      </c>
      <c r="B17" s="2" t="s">
        <v>15</v>
      </c>
      <c r="C17" s="12">
        <f>IFERROR(VLOOKUP($A17&amp;C$2&amp;$B17,Dados7030!$E$1:$F$360,2,FALSE), VLOOKUP($A17&amp;C$2&amp;$B17,Dados10Fold!$E$1:$F$360,2,FALSE))</f>
        <v>0.5281</v>
      </c>
      <c r="D17" s="12">
        <f>IFERROR(VLOOKUP($A17&amp;D$2&amp;$B17,Dados7030!$E$1:$F$360,2,FALSE), VLOOKUP($A17&amp;D$2&amp;$B17,Dados10Fold!$E$1:$F$360,2,FALSE))</f>
        <v>0.5668</v>
      </c>
      <c r="E17" s="12">
        <f>IFERROR(VLOOKUP($A17&amp;E$2&amp;$B17,Dados7030!$E$1:$F$360,2,FALSE), VLOOKUP($A17&amp;E$2&amp;$B17,Dados10Fold!$E$1:$F$360,2,FALSE))</f>
        <v>0.4944</v>
      </c>
      <c r="F17" s="12">
        <f>IFERROR(VLOOKUP($A17&amp;F$2&amp;$B17,Dados7030!$E$1:$F$360,2,FALSE), VLOOKUP($A17&amp;F$2&amp;$B17,Dados10Fold!$E$1:$F$360,2,FALSE))</f>
        <v>0.5264</v>
      </c>
      <c r="G17" s="12">
        <f>IFERROR(VLOOKUP($A17&amp;G$2&amp;$B17,Dados7030!$E$1:$F$360,2,FALSE), VLOOKUP($A17&amp;G$2&amp;$B17,Dados10Fold!$E$1:$F$360,2,FALSE))</f>
        <v>0.4646</v>
      </c>
      <c r="H17" s="12">
        <f>IFERROR(VLOOKUP($A17&amp;H$2&amp;$B17,Dados7030!$E$1:$F$360,2,FALSE), VLOOKUP($A17&amp;H$2&amp;$B17,Dados10Fold!$E$1:$F$360,2,FALSE))</f>
        <v>0.5157</v>
      </c>
      <c r="I17" s="12">
        <f>IFERROR(VLOOKUP($A17&amp;I$2&amp;$B17,Dados7030!$E$1:$F$360,2,FALSE), VLOOKUP($A17&amp;I$2&amp;$B17,Dados10Fold!$E$1:$F$360,2,FALSE))</f>
        <v>0.458</v>
      </c>
      <c r="J17" s="12">
        <f>IFERROR(VLOOKUP($A17&amp;J$2&amp;$B17,Dados7030!$E$1:$F$360,2,FALSE), VLOOKUP($A17&amp;J$2&amp;$B17,Dados10Fold!$E$1:$F$360,2,FALSE))</f>
        <v>0.4796</v>
      </c>
      <c r="K17" s="12">
        <f>IFERROR(VLOOKUP($A17&amp;K$2&amp;$B17,Dados7030!$E$1:$F$360,2,FALSE), VLOOKUP($A17&amp;K$2&amp;$B17,Dados10Fold!$E$1:$F$360,2,FALSE))</f>
        <v>0.4272</v>
      </c>
      <c r="L17" s="12">
        <f>IFERROR(VLOOKUP($A17&amp;L$2&amp;$B17,Dados7030!$E$1:$F$360,2,FALSE), VLOOKUP($A17&amp;L$2&amp;$B17,Dados10Fold!$E$1:$F$360,2,FALSE))</f>
        <v>0.4636</v>
      </c>
      <c r="M17" s="6">
        <f>MEDIAN(C17:L18)</f>
        <v>0.50475</v>
      </c>
      <c r="O17" s="7" t="s">
        <v>27</v>
      </c>
    </row>
    <row r="18">
      <c r="B18" s="2" t="s">
        <v>17</v>
      </c>
      <c r="C18" s="12">
        <f>IFERROR(VLOOKUP($A17&amp;C$2&amp;$B18,Dados7030!$E$1:$F$360,2,FALSE), VLOOKUP($A17&amp;C$2&amp;$B18,Dados10Fold!$E$1:$F$360,2,FALSE))</f>
        <v>0.5493</v>
      </c>
      <c r="D18" s="12">
        <f>IFERROR(VLOOKUP($A17&amp;D$2&amp;$B18,Dados7030!$E$1:$F$360,2,FALSE), VLOOKUP($A17&amp;D$2&amp;$B18,Dados10Fold!$E$1:$F$360,2,FALSE))</f>
        <v>0.5764</v>
      </c>
      <c r="E18" s="12">
        <f>IFERROR(VLOOKUP($A17&amp;E$2&amp;$B18,Dados7030!$E$1:$F$360,2,FALSE), VLOOKUP($A17&amp;E$2&amp;$B18,Dados10Fold!$E$1:$F$360,2,FALSE))</f>
        <v>0.5262</v>
      </c>
      <c r="F18" s="12">
        <f>IFERROR(VLOOKUP($A17&amp;F$2&amp;$B18,Dados7030!$E$1:$F$360,2,FALSE), VLOOKUP($A17&amp;F$2&amp;$B18,Dados10Fold!$E$1:$F$360,2,FALSE))</f>
        <v>0.5736</v>
      </c>
      <c r="G18" s="12">
        <f>IFERROR(VLOOKUP($A17&amp;G$2&amp;$B18,Dados7030!$E$1:$F$360,2,FALSE), VLOOKUP($A17&amp;G$2&amp;$B18,Dados10Fold!$E$1:$F$360,2,FALSE))</f>
        <v>0.4971</v>
      </c>
      <c r="H18" s="12">
        <f>IFERROR(VLOOKUP($A17&amp;H$2&amp;$B18,Dados7030!$E$1:$F$360,2,FALSE), VLOOKUP($A17&amp;H$2&amp;$B18,Dados10Fold!$E$1:$F$360,2,FALSE))</f>
        <v>0.5429</v>
      </c>
      <c r="I18" s="12">
        <f>IFERROR(VLOOKUP($A17&amp;I$2&amp;$B18,Dados7030!$E$1:$F$360,2,FALSE), VLOOKUP($A17&amp;I$2&amp;$B18,Dados10Fold!$E$1:$F$360,2,FALSE))</f>
        <v>0.4746</v>
      </c>
      <c r="J18" s="12">
        <f>IFERROR(VLOOKUP($A17&amp;J$2&amp;$B18,Dados7030!$E$1:$F$360,2,FALSE), VLOOKUP($A17&amp;J$2&amp;$B18,Dados10Fold!$E$1:$F$360,2,FALSE))</f>
        <v>0.5124</v>
      </c>
      <c r="K18" s="12">
        <f>IFERROR(VLOOKUP($A17&amp;K$2&amp;$B18,Dados7030!$E$1:$F$360,2,FALSE), VLOOKUP($A17&amp;K$2&amp;$B18,Dados10Fold!$E$1:$F$360,2,FALSE))</f>
        <v>0.4563</v>
      </c>
      <c r="L18" s="12">
        <f>IFERROR(VLOOKUP($A17&amp;L$2&amp;$B18,Dados7030!$E$1:$F$360,2,FALSE), VLOOKUP($A17&amp;L$2&amp;$B18,Dados10Fold!$E$1:$F$360,2,FALSE))</f>
        <v>0.4884</v>
      </c>
      <c r="M18" s="8"/>
    </row>
    <row r="19">
      <c r="A19" s="3" t="s">
        <v>28</v>
      </c>
      <c r="B19" s="4" t="s">
        <v>15</v>
      </c>
      <c r="C19" s="5">
        <f>IFERROR(VLOOKUP($A19&amp;C$2&amp;$B19,Dados7030!$E$1:$F$360,2,FALSE), VLOOKUP($A19&amp;C$2&amp;$B19,Dados10Fold!$E$1:$F$360,2,FALSE))</f>
        <v>0.516</v>
      </c>
      <c r="D19" s="5">
        <f>IFERROR(VLOOKUP($A19&amp;D$2&amp;$B19,Dados7030!$E$1:$F$360,2,FALSE), VLOOKUP($A19&amp;D$2&amp;$B19,Dados10Fold!$E$1:$F$360,2,FALSE))</f>
        <v>0.5518</v>
      </c>
      <c r="E19" s="5">
        <f>IFERROR(VLOOKUP($A19&amp;E$2&amp;$B19,Dados7030!$E$1:$F$360,2,FALSE), VLOOKUP($A19&amp;E$2&amp;$B19,Dados10Fold!$E$1:$F$360,2,FALSE))</f>
        <v>0.4935</v>
      </c>
      <c r="F19" s="5">
        <f>IFERROR(VLOOKUP($A19&amp;F$2&amp;$B19,Dados7030!$E$1:$F$360,2,FALSE), VLOOKUP($A19&amp;F$2&amp;$B19,Dados10Fold!$E$1:$F$360,2,FALSE))</f>
        <v>0.5313</v>
      </c>
      <c r="G19" s="5">
        <f>IFERROR(VLOOKUP($A19&amp;G$2&amp;$B19,Dados7030!$E$1:$F$360,2,FALSE), VLOOKUP($A19&amp;G$2&amp;$B19,Dados10Fold!$E$1:$F$360,2,FALSE))</f>
        <v>0.4573</v>
      </c>
      <c r="H19" s="5">
        <f>IFERROR(VLOOKUP($A19&amp;H$2&amp;$B19,Dados7030!$E$1:$F$360,2,FALSE), VLOOKUP($A19&amp;H$2&amp;$B19,Dados10Fold!$E$1:$F$360,2,FALSE))</f>
        <v>0.4888</v>
      </c>
      <c r="I19" s="5">
        <f>IFERROR(VLOOKUP($A19&amp;I$2&amp;$B19,Dados7030!$E$1:$F$360,2,FALSE), VLOOKUP($A19&amp;I$2&amp;$B19,Dados10Fold!$E$1:$F$360,2,FALSE))</f>
        <v>0.4383</v>
      </c>
      <c r="J19" s="5">
        <f>IFERROR(VLOOKUP($A19&amp;J$2&amp;$B19,Dados7030!$E$1:$F$360,2,FALSE), VLOOKUP($A19&amp;J$2&amp;$B19,Dados10Fold!$E$1:$F$360,2,FALSE))</f>
        <v>0.4734</v>
      </c>
      <c r="K19" s="5">
        <f>IFERROR(VLOOKUP($A19&amp;K$2&amp;$B19,Dados7030!$E$1:$F$360,2,FALSE), VLOOKUP($A19&amp;K$2&amp;$B19,Dados10Fold!$E$1:$F$360,2,FALSE))</f>
        <v>0.4179</v>
      </c>
      <c r="L19" s="5">
        <f>IFERROR(VLOOKUP($A19&amp;L$2&amp;$B19,Dados7030!$E$1:$F$360,2,FALSE), VLOOKUP($A19&amp;L$2&amp;$B19,Dados10Fold!$E$1:$F$360,2,FALSE))</f>
        <v>0.4588</v>
      </c>
      <c r="M19" s="6">
        <f>MEDIAN(C19:L20)</f>
        <v>0.49035</v>
      </c>
      <c r="O19" s="7" t="s">
        <v>29</v>
      </c>
    </row>
    <row r="20">
      <c r="B20" s="4" t="s">
        <v>17</v>
      </c>
      <c r="C20" s="5">
        <f>IFERROR(VLOOKUP($A19&amp;C$2&amp;$B20,Dados7030!$E$1:$F$360,2,FALSE), VLOOKUP($A19&amp;C$2&amp;$B20,Dados10Fold!$E$1:$F$360,2,FALSE))</f>
        <v>0.5361</v>
      </c>
      <c r="D20" s="5">
        <f>IFERROR(VLOOKUP($A19&amp;D$2&amp;$B20,Dados7030!$E$1:$F$360,2,FALSE), VLOOKUP($A19&amp;D$2&amp;$B20,Dados10Fold!$E$1:$F$360,2,FALSE))</f>
        <v>0.5668</v>
      </c>
      <c r="E20" s="5">
        <f>IFERROR(VLOOKUP($A19&amp;E$2&amp;$B20,Dados7030!$E$1:$F$360,2,FALSE), VLOOKUP($A19&amp;E$2&amp;$B20,Dados10Fold!$E$1:$F$360,2,FALSE))</f>
        <v>0.5043</v>
      </c>
      <c r="F20" s="5">
        <f>IFERROR(VLOOKUP($A19&amp;F$2&amp;$B20,Dados7030!$E$1:$F$360,2,FALSE), VLOOKUP($A19&amp;F$2&amp;$B20,Dados10Fold!$E$1:$F$360,2,FALSE))</f>
        <v>0.5521</v>
      </c>
      <c r="G20" s="5">
        <f>IFERROR(VLOOKUP($A19&amp;G$2&amp;$B20,Dados7030!$E$1:$F$360,2,FALSE), VLOOKUP($A19&amp;G$2&amp;$B20,Dados10Fold!$E$1:$F$360,2,FALSE))</f>
        <v>0.4761</v>
      </c>
      <c r="H20" s="5">
        <f>IFERROR(VLOOKUP($A19&amp;H$2&amp;$B20,Dados7030!$E$1:$F$360,2,FALSE), VLOOKUP($A19&amp;H$2&amp;$B20,Dados10Fold!$E$1:$F$360,2,FALSE))</f>
        <v>0.5252</v>
      </c>
      <c r="I20" s="5">
        <f>IFERROR(VLOOKUP($A19&amp;I$2&amp;$B20,Dados7030!$E$1:$F$360,2,FALSE), VLOOKUP($A19&amp;I$2&amp;$B20,Dados10Fold!$E$1:$F$360,2,FALSE))</f>
        <v>0.4536</v>
      </c>
      <c r="J20" s="5">
        <f>IFERROR(VLOOKUP($A19&amp;J$2&amp;$B20,Dados7030!$E$1:$F$360,2,FALSE), VLOOKUP($A19&amp;J$2&amp;$B20,Dados10Fold!$E$1:$F$360,2,FALSE))</f>
        <v>0.4919</v>
      </c>
      <c r="K20" s="5">
        <f>IFERROR(VLOOKUP($A19&amp;K$2&amp;$B20,Dados7030!$E$1:$F$360,2,FALSE), VLOOKUP($A19&amp;K$2&amp;$B20,Dados10Fold!$E$1:$F$360,2,FALSE))</f>
        <v>0.4399</v>
      </c>
      <c r="L20" s="5">
        <f>IFERROR(VLOOKUP($A19&amp;L$2&amp;$B20,Dados7030!$E$1:$F$360,2,FALSE), VLOOKUP($A19&amp;L$2&amp;$B20,Dados10Fold!$E$1:$F$360,2,FALSE))</f>
        <v>0.4764</v>
      </c>
      <c r="M20" s="8"/>
    </row>
    <row r="21">
      <c r="A21" s="1" t="s">
        <v>30</v>
      </c>
      <c r="B21" s="2" t="s">
        <v>15</v>
      </c>
      <c r="C21" s="12">
        <f>IFERROR(VLOOKUP($A21&amp;C$2&amp;$B21,Dados7030!$E$1:$F$360,2,FALSE), VLOOKUP($A21&amp;C$2&amp;$B21,Dados10Fold!$E$1:$F$360,2,FALSE))</f>
        <v>0.4953</v>
      </c>
      <c r="D21" s="12">
        <f>IFERROR(VLOOKUP($A21&amp;D$2&amp;$B21,Dados7030!$E$1:$F$360,2,FALSE), VLOOKUP($A21&amp;D$2&amp;$B21,Dados10Fold!$E$1:$F$360,2,FALSE))</f>
        <v>0.5292</v>
      </c>
      <c r="E21" s="12">
        <f>IFERROR(VLOOKUP($A21&amp;E$2&amp;$B21,Dados7030!$E$1:$F$360,2,FALSE), VLOOKUP($A21&amp;E$2&amp;$B21,Dados10Fold!$E$1:$F$360,2,FALSE))</f>
        <v>0.4787</v>
      </c>
      <c r="F21" s="12">
        <f>IFERROR(VLOOKUP($A21&amp;F$2&amp;$B21,Dados7030!$E$1:$F$360,2,FALSE), VLOOKUP($A21&amp;F$2&amp;$B21,Dados10Fold!$E$1:$F$360,2,FALSE))</f>
        <v>0.5093</v>
      </c>
      <c r="G21" s="12">
        <f>IFERROR(VLOOKUP($A21&amp;G$2&amp;$B21,Dados7030!$E$1:$F$360,2,FALSE), VLOOKUP($A21&amp;G$2&amp;$B21,Dados10Fold!$E$1:$F$360,2,FALSE))</f>
        <v>0.4534</v>
      </c>
      <c r="H21" s="12">
        <f>IFERROR(VLOOKUP($A21&amp;H$2&amp;$B21,Dados7030!$E$1:$F$360,2,FALSE), VLOOKUP($A21&amp;H$2&amp;$B21,Dados10Fold!$E$1:$F$360,2,FALSE))</f>
        <v>0.48</v>
      </c>
      <c r="I21" s="12">
        <f>IFERROR(VLOOKUP($A21&amp;I$2&amp;$B21,Dados7030!$E$1:$F$360,2,FALSE), VLOOKUP($A21&amp;I$2&amp;$B21,Dados10Fold!$E$1:$F$360,2,FALSE))</f>
        <v>0.4332</v>
      </c>
      <c r="J21" s="12">
        <f>IFERROR(VLOOKUP($A21&amp;J$2&amp;$B21,Dados7030!$E$1:$F$360,2,FALSE), VLOOKUP($A21&amp;J$2&amp;$B21,Dados10Fold!$E$1:$F$360,2,FALSE))</f>
        <v>0.474</v>
      </c>
      <c r="K21" s="12">
        <f>IFERROR(VLOOKUP($A21&amp;K$2&amp;$B21,Dados7030!$E$1:$F$360,2,FALSE), VLOOKUP($A21&amp;K$2&amp;$B21,Dados10Fold!$E$1:$F$360,2,FALSE))</f>
        <v>0.4362</v>
      </c>
      <c r="L21" s="12">
        <f>IFERROR(VLOOKUP($A21&amp;L$2&amp;$B21,Dados7030!$E$1:$F$360,2,FALSE), VLOOKUP($A21&amp;L$2&amp;$B21,Dados10Fold!$E$1:$F$360,2,FALSE))</f>
        <v>0.4634</v>
      </c>
      <c r="M21" s="6">
        <f>MEDIAN(C21:L22)</f>
        <v>0.4802</v>
      </c>
      <c r="O21" s="7" t="s">
        <v>31</v>
      </c>
    </row>
    <row r="22">
      <c r="B22" s="2" t="s">
        <v>17</v>
      </c>
      <c r="C22" s="12">
        <f>IFERROR(VLOOKUP($A21&amp;C$2&amp;$B22,Dados7030!$E$1:$F$360,2,FALSE), VLOOKUP($A21&amp;C$2&amp;$B22,Dados10Fold!$E$1:$F$360,2,FALSE))</f>
        <v>0.5604</v>
      </c>
      <c r="D22" s="12">
        <f>IFERROR(VLOOKUP($A21&amp;D$2&amp;$B22,Dados7030!$E$1:$F$360,2,FALSE), VLOOKUP($A21&amp;D$2&amp;$B22,Dados10Fold!$E$1:$F$360,2,FALSE))</f>
        <v>0.588</v>
      </c>
      <c r="E22" s="12">
        <f>IFERROR(VLOOKUP($A21&amp;E$2&amp;$B22,Dados7030!$E$1:$F$360,2,FALSE), VLOOKUP($A21&amp;E$2&amp;$B22,Dados10Fold!$E$1:$F$360,2,FALSE))</f>
        <v>0.5075</v>
      </c>
      <c r="F22" s="12">
        <f>IFERROR(VLOOKUP($A21&amp;F$2&amp;$B22,Dados7030!$E$1:$F$360,2,FALSE), VLOOKUP($A21&amp;F$2&amp;$B22,Dados10Fold!$E$1:$F$360,2,FALSE))</f>
        <v>0.5572</v>
      </c>
      <c r="G22" s="12">
        <f>IFERROR(VLOOKUP($A21&amp;G$2&amp;$B22,Dados7030!$E$1:$F$360,2,FALSE), VLOOKUP($A21&amp;G$2&amp;$B22,Dados10Fold!$E$1:$F$360,2,FALSE))</f>
        <v>0.4804</v>
      </c>
      <c r="H22" s="12">
        <f>IFERROR(VLOOKUP($A21&amp;H$2&amp;$B22,Dados7030!$E$1:$F$360,2,FALSE), VLOOKUP($A21&amp;H$2&amp;$B22,Dados10Fold!$E$1:$F$360,2,FALSE))</f>
        <v>0.5248</v>
      </c>
      <c r="I22" s="12">
        <f>IFERROR(VLOOKUP($A21&amp;I$2&amp;$B22,Dados7030!$E$1:$F$360,2,FALSE), VLOOKUP($A21&amp;I$2&amp;$B22,Dados10Fold!$E$1:$F$360,2,FALSE))</f>
        <v>0.4427</v>
      </c>
      <c r="J22" s="12">
        <f>IFERROR(VLOOKUP($A21&amp;J$2&amp;$B22,Dados7030!$E$1:$F$360,2,FALSE), VLOOKUP($A21&amp;J$2&amp;$B22,Dados10Fold!$E$1:$F$360,2,FALSE))</f>
        <v>0.4852</v>
      </c>
      <c r="K22" s="12">
        <f>IFERROR(VLOOKUP($A21&amp;K$2&amp;$B22,Dados7030!$E$1:$F$360,2,FALSE), VLOOKUP($A21&amp;K$2&amp;$B22,Dados10Fold!$E$1:$F$360,2,FALSE))</f>
        <v>0.432</v>
      </c>
      <c r="L22" s="12">
        <f>IFERROR(VLOOKUP($A21&amp;L$2&amp;$B22,Dados7030!$E$1:$F$360,2,FALSE), VLOOKUP($A21&amp;L$2&amp;$B22,Dados10Fold!$E$1:$F$360,2,FALSE))</f>
        <v>0.4608</v>
      </c>
      <c r="M22" s="8"/>
    </row>
    <row r="23">
      <c r="A23" s="3" t="s">
        <v>32</v>
      </c>
      <c r="B23" s="4" t="s">
        <v>15</v>
      </c>
      <c r="C23" s="5">
        <f>IFERROR(VLOOKUP($A23&amp;C$2&amp;$B23,Dados7030!$E$1:$F$360,2,FALSE), VLOOKUP($A23&amp;C$2&amp;$B23,Dados10Fold!$E$1:$F$360,2,FALSE))</f>
        <v>0.5512</v>
      </c>
      <c r="D23" s="5">
        <f>IFERROR(VLOOKUP($A23&amp;D$2&amp;$B23,Dados7030!$E$1:$F$360,2,FALSE), VLOOKUP($A23&amp;D$2&amp;$B23,Dados10Fold!$E$1:$F$360,2,FALSE))</f>
        <v>0.5794</v>
      </c>
      <c r="E23" s="5">
        <f>IFERROR(VLOOKUP($A23&amp;E$2&amp;$B23,Dados7030!$E$1:$F$360,2,FALSE), VLOOKUP($A23&amp;E$2&amp;$B23,Dados10Fold!$E$1:$F$360,2,FALSE))</f>
        <v>0.5047</v>
      </c>
      <c r="F23" s="5">
        <f>IFERROR(VLOOKUP($A23&amp;F$2&amp;$B23,Dados7030!$E$1:$F$360,2,FALSE), VLOOKUP($A23&amp;F$2&amp;$B23,Dados10Fold!$E$1:$F$360,2,FALSE))</f>
        <v>0.5488</v>
      </c>
      <c r="G23" s="5">
        <f>IFERROR(VLOOKUP($A23&amp;G$2&amp;$B23,Dados7030!$E$1:$F$360,2,FALSE), VLOOKUP($A23&amp;G$2&amp;$B23,Dados10Fold!$E$1:$F$360,2,FALSE))</f>
        <v>0.4962</v>
      </c>
      <c r="H23" s="5">
        <f>IFERROR(VLOOKUP($A23&amp;H$2&amp;$B23,Dados7030!$E$1:$F$360,2,FALSE), VLOOKUP($A23&amp;H$2&amp;$B23,Dados10Fold!$E$1:$F$360,2,FALSE))</f>
        <v>0.5265</v>
      </c>
      <c r="I23" s="5">
        <f>IFERROR(VLOOKUP($A23&amp;I$2&amp;$B23,Dados7030!$E$1:$F$360,2,FALSE), VLOOKUP($A23&amp;I$2&amp;$B23,Dados10Fold!$E$1:$F$360,2,FALSE))</f>
        <v>0.4812</v>
      </c>
      <c r="J23" s="5">
        <f>IFERROR(VLOOKUP($A23&amp;J$2&amp;$B23,Dados7030!$E$1:$F$360,2,FALSE), VLOOKUP($A23&amp;J$2&amp;$B23,Dados10Fold!$E$1:$F$360,2,FALSE))</f>
        <v>0.5038</v>
      </c>
      <c r="K23" s="5">
        <f>IFERROR(VLOOKUP($A23&amp;K$2&amp;$B23,Dados7030!$E$1:$F$360,2,FALSE), VLOOKUP($A23&amp;K$2&amp;$B23,Dados10Fold!$E$1:$F$360,2,FALSE))</f>
        <v>0.4716</v>
      </c>
      <c r="L23" s="5">
        <f>IFERROR(VLOOKUP($A23&amp;L$2&amp;$B23,Dados7030!$E$1:$F$360,2,FALSE), VLOOKUP($A23&amp;L$2&amp;$B23,Dados10Fold!$E$1:$F$360,2,FALSE))</f>
        <v>0.5002</v>
      </c>
      <c r="M23" s="6">
        <f>MEDIAN(C23:L24)</f>
        <v>0.52215</v>
      </c>
      <c r="O23" s="7" t="s">
        <v>33</v>
      </c>
    </row>
    <row r="24">
      <c r="B24" s="4" t="s">
        <v>17</v>
      </c>
      <c r="C24" s="5">
        <f>IFERROR(VLOOKUP($A23&amp;C$2&amp;$B24,Dados7030!$E$1:$F$360,2,FALSE), VLOOKUP($A23&amp;C$2&amp;$B24,Dados10Fold!$E$1:$F$360,2,FALSE))</f>
        <v>0.5816</v>
      </c>
      <c r="D24" s="5">
        <f>IFERROR(VLOOKUP($A23&amp;D$2&amp;$B24,Dados7030!$E$1:$F$360,2,FALSE), VLOOKUP($A23&amp;D$2&amp;$B24,Dados10Fold!$E$1:$F$360,2,FALSE))</f>
        <v>0.6061</v>
      </c>
      <c r="E24" s="5">
        <f>IFERROR(VLOOKUP($A23&amp;E$2&amp;$B24,Dados7030!$E$1:$F$360,2,FALSE), VLOOKUP($A23&amp;E$2&amp;$B24,Dados10Fold!$E$1:$F$360,2,FALSE))</f>
        <v>0.5501</v>
      </c>
      <c r="F24" s="5">
        <f>IFERROR(VLOOKUP($A23&amp;F$2&amp;$B24,Dados7030!$E$1:$F$360,2,FALSE), VLOOKUP($A23&amp;F$2&amp;$B24,Dados10Fold!$E$1:$F$360,2,FALSE))</f>
        <v>0.5979</v>
      </c>
      <c r="G24" s="5">
        <f>IFERROR(VLOOKUP($A23&amp;G$2&amp;$B24,Dados7030!$E$1:$F$360,2,FALSE), VLOOKUP($A23&amp;G$2&amp;$B24,Dados10Fold!$E$1:$F$360,2,FALSE))</f>
        <v>0.5178</v>
      </c>
      <c r="H24" s="5">
        <f>IFERROR(VLOOKUP($A23&amp;H$2&amp;$B24,Dados7030!$E$1:$F$360,2,FALSE), VLOOKUP($A23&amp;H$2&amp;$B24,Dados10Fold!$E$1:$F$360,2,FALSE))</f>
        <v>0.5643</v>
      </c>
      <c r="I24" s="5">
        <f>IFERROR(VLOOKUP($A23&amp;I$2&amp;$B24,Dados7030!$E$1:$F$360,2,FALSE), VLOOKUP($A23&amp;I$2&amp;$B24,Dados10Fold!$E$1:$F$360,2,FALSE))</f>
        <v>0.4943</v>
      </c>
      <c r="J24" s="5">
        <f>IFERROR(VLOOKUP($A23&amp;J$2&amp;$B24,Dados7030!$E$1:$F$360,2,FALSE), VLOOKUP($A23&amp;J$2&amp;$B24,Dados10Fold!$E$1:$F$360,2,FALSE))</f>
        <v>0.538</v>
      </c>
      <c r="K24" s="5">
        <f>IFERROR(VLOOKUP($A23&amp;K$2&amp;$B24,Dados7030!$E$1:$F$360,2,FALSE), VLOOKUP($A23&amp;K$2&amp;$B24,Dados10Fold!$E$1:$F$360,2,FALSE))</f>
        <v>0.4806</v>
      </c>
      <c r="L24" s="5">
        <f>IFERROR(VLOOKUP($A23&amp;L$2&amp;$B24,Dados7030!$E$1:$F$360,2,FALSE), VLOOKUP($A23&amp;L$2&amp;$B24,Dados10Fold!$E$1:$F$360,2,FALSE))</f>
        <v>0.5127</v>
      </c>
      <c r="M24" s="8"/>
    </row>
    <row r="25">
      <c r="A25" s="1" t="s">
        <v>34</v>
      </c>
      <c r="B25" s="2" t="s">
        <v>15</v>
      </c>
      <c r="C25" s="12">
        <f>IFERROR(VLOOKUP($A25&amp;C$2&amp;$B25,Dados7030!$E$1:$F$360,2,FALSE), VLOOKUP($A25&amp;C$2&amp;$B25,Dados10Fold!$E$1:$F$360,2,FALSE))</f>
        <v>0.5079</v>
      </c>
      <c r="D25" s="12">
        <f>IFERROR(VLOOKUP($A25&amp;D$2&amp;$B25,Dados7030!$E$1:$F$360,2,FALSE), VLOOKUP($A25&amp;D$2&amp;$B25,Dados10Fold!$E$1:$F$360,2,FALSE))</f>
        <v>0.5445</v>
      </c>
      <c r="E25" s="12">
        <f>IFERROR(VLOOKUP($A25&amp;E$2&amp;$B25,Dados7030!$E$1:$F$360,2,FALSE), VLOOKUP($A25&amp;E$2&amp;$B25,Dados10Fold!$E$1:$F$360,2,FALSE))</f>
        <v>0.4807</v>
      </c>
      <c r="F25" s="12">
        <f>IFERROR(VLOOKUP($A25&amp;F$2&amp;$B25,Dados7030!$E$1:$F$360,2,FALSE), VLOOKUP($A25&amp;F$2&amp;$B25,Dados10Fold!$E$1:$F$360,2,FALSE))</f>
        <v>0.5124</v>
      </c>
      <c r="G25" s="12">
        <f>IFERROR(VLOOKUP($A25&amp;G$2&amp;$B25,Dados7030!$E$1:$F$360,2,FALSE), VLOOKUP($A25&amp;G$2&amp;$B25,Dados10Fold!$E$1:$F$360,2,FALSE))</f>
        <v>0.4537</v>
      </c>
      <c r="H25" s="12">
        <f>IFERROR(VLOOKUP($A25&amp;H$2&amp;$B25,Dados7030!$E$1:$F$360,2,FALSE), VLOOKUP($A25&amp;H$2&amp;$B25,Dados10Fold!$E$1:$F$360,2,FALSE))</f>
        <v>0.4831</v>
      </c>
      <c r="I25" s="12">
        <f>IFERROR(VLOOKUP($A25&amp;I$2&amp;$B25,Dados7030!$E$1:$F$360,2,FALSE), VLOOKUP($A25&amp;I$2&amp;$B25,Dados10Fold!$E$1:$F$360,2,FALSE))</f>
        <v>0.4392</v>
      </c>
      <c r="J25" s="12">
        <f>IFERROR(VLOOKUP($A25&amp;J$2&amp;$B25,Dados7030!$E$1:$F$360,2,FALSE), VLOOKUP($A25&amp;J$2&amp;$B25,Dados10Fold!$E$1:$F$360,2,FALSE))</f>
        <v>0.4741</v>
      </c>
      <c r="K25" s="12">
        <f>IFERROR(VLOOKUP($A25&amp;K$2&amp;$B25,Dados7030!$E$1:$F$360,2,FALSE), VLOOKUP($A25&amp;K$2&amp;$B25,Dados10Fold!$E$1:$F$360,2,FALSE))</f>
        <v>0.4349</v>
      </c>
      <c r="L25" s="12">
        <f>IFERROR(VLOOKUP($A25&amp;L$2&amp;$B25,Dados7030!$E$1:$F$360,2,FALSE), VLOOKUP($A25&amp;L$2&amp;$B25,Dados10Fold!$E$1:$F$360,2,FALSE))</f>
        <v>0.4512</v>
      </c>
      <c r="M25" s="6">
        <f>MEDIAN(C25:L26)</f>
        <v>0.4819</v>
      </c>
      <c r="O25" s="7" t="s">
        <v>35</v>
      </c>
    </row>
    <row r="26">
      <c r="B26" s="2" t="s">
        <v>17</v>
      </c>
      <c r="C26" s="12">
        <f>IFERROR(VLOOKUP($A25&amp;C$2&amp;$B26,Dados7030!$E$1:$F$360,2,FALSE), VLOOKUP($A25&amp;C$2&amp;$B26,Dados10Fold!$E$1:$F$360,2,FALSE))</f>
        <v>0.5628</v>
      </c>
      <c r="D26" s="12">
        <f>IFERROR(VLOOKUP($A25&amp;D$2&amp;$B26,Dados7030!$E$1:$F$360,2,FALSE), VLOOKUP($A25&amp;D$2&amp;$B26,Dados10Fold!$E$1:$F$360,2,FALSE))</f>
        <v>0.5907</v>
      </c>
      <c r="E26" s="12">
        <f>IFERROR(VLOOKUP($A25&amp;E$2&amp;$B26,Dados7030!$E$1:$F$360,2,FALSE), VLOOKUP($A25&amp;E$2&amp;$B26,Dados10Fold!$E$1:$F$360,2,FALSE))</f>
        <v>0.5205</v>
      </c>
      <c r="F26" s="12">
        <f>IFERROR(VLOOKUP($A25&amp;F$2&amp;$B26,Dados7030!$E$1:$F$360,2,FALSE), VLOOKUP($A25&amp;F$2&amp;$B26,Dados10Fold!$E$1:$F$360,2,FALSE))</f>
        <v>0.5641</v>
      </c>
      <c r="G26" s="12">
        <f>IFERROR(VLOOKUP($A25&amp;G$2&amp;$B26,Dados7030!$E$1:$F$360,2,FALSE), VLOOKUP($A25&amp;G$2&amp;$B26,Dados10Fold!$E$1:$F$360,2,FALSE))</f>
        <v>0.4765</v>
      </c>
      <c r="H26" s="12">
        <f>IFERROR(VLOOKUP($A25&amp;H$2&amp;$B26,Dados7030!$E$1:$F$360,2,FALSE), VLOOKUP($A25&amp;H$2&amp;$B26,Dados10Fold!$E$1:$F$360,2,FALSE))</f>
        <v>0.5275</v>
      </c>
      <c r="I26" s="12">
        <f>IFERROR(VLOOKUP($A25&amp;I$2&amp;$B26,Dados7030!$E$1:$F$360,2,FALSE), VLOOKUP($A25&amp;I$2&amp;$B26,Dados10Fold!$E$1:$F$360,2,FALSE))</f>
        <v>0.4489</v>
      </c>
      <c r="J26" s="12">
        <f>IFERROR(VLOOKUP($A25&amp;J$2&amp;$B26,Dados7030!$E$1:$F$360,2,FALSE), VLOOKUP($A25&amp;J$2&amp;$B26,Dados10Fold!$E$1:$F$360,2,FALSE))</f>
        <v>0.4888</v>
      </c>
      <c r="K26" s="12">
        <f>IFERROR(VLOOKUP($A25&amp;K$2&amp;$B26,Dados7030!$E$1:$F$360,2,FALSE), VLOOKUP($A25&amp;K$2&amp;$B26,Dados10Fold!$E$1:$F$360,2,FALSE))</f>
        <v>0.4296</v>
      </c>
      <c r="L26" s="12">
        <f>IFERROR(VLOOKUP($A25&amp;L$2&amp;$B26,Dados7030!$E$1:$F$360,2,FALSE), VLOOKUP($A25&amp;L$2&amp;$B26,Dados10Fold!$E$1:$F$360,2,FALSE))</f>
        <v>0.464</v>
      </c>
      <c r="M26" s="8"/>
    </row>
    <row r="27">
      <c r="A27" s="3" t="s">
        <v>36</v>
      </c>
      <c r="B27" s="4" t="s">
        <v>15</v>
      </c>
      <c r="C27" s="5">
        <f>IFERROR(VLOOKUP($A27&amp;C$2&amp;$B27,Dados7030!$E$1:$F$360,2,FALSE), VLOOKUP($A27&amp;C$2&amp;$B27,Dados10Fold!$E$1:$F$360,2,FALSE))</f>
        <v>0.5959</v>
      </c>
      <c r="D27" s="5">
        <f>IFERROR(VLOOKUP($A27&amp;D$2&amp;$B27,Dados7030!$E$1:$F$360,2,FALSE), VLOOKUP($A27&amp;D$2&amp;$B27,Dados10Fold!$E$1:$F$360,2,FALSE))</f>
        <v>0.6426</v>
      </c>
      <c r="E27" s="5">
        <f>IFERROR(VLOOKUP($A27&amp;E$2&amp;$B27,Dados7030!$E$1:$F$360,2,FALSE), VLOOKUP($A27&amp;E$2&amp;$B27,Dados10Fold!$E$1:$F$360,2,FALSE))</f>
        <v>0.5584</v>
      </c>
      <c r="F27" s="5">
        <f>IFERROR(VLOOKUP($A27&amp;F$2&amp;$B27,Dados7030!$E$1:$F$360,2,FALSE), VLOOKUP($A27&amp;F$2&amp;$B27,Dados10Fold!$E$1:$F$360,2,FALSE))</f>
        <v>0.5977</v>
      </c>
      <c r="G27" s="5">
        <f>IFERROR(VLOOKUP($A27&amp;G$2&amp;$B27,Dados7030!$E$1:$F$360,2,FALSE), VLOOKUP($A27&amp;G$2&amp;$B27,Dados10Fold!$E$1:$F$360,2,FALSE))</f>
        <v>0.5506</v>
      </c>
      <c r="H27" s="5">
        <f>IFERROR(VLOOKUP($A27&amp;H$2&amp;$B27,Dados7030!$E$1:$F$360,2,FALSE), VLOOKUP($A27&amp;H$2&amp;$B27,Dados10Fold!$E$1:$F$360,2,FALSE))</f>
        <v>0.578</v>
      </c>
      <c r="I27" s="5">
        <f>IFERROR(VLOOKUP($A27&amp;I$2&amp;$B27,Dados7030!$E$1:$F$360,2,FALSE), VLOOKUP($A27&amp;I$2&amp;$B27,Dados10Fold!$E$1:$F$360,2,FALSE))</f>
        <v>0.5271</v>
      </c>
      <c r="J27" s="5">
        <f>IFERROR(VLOOKUP($A27&amp;J$2&amp;$B27,Dados7030!$E$1:$F$360,2,FALSE), VLOOKUP($A27&amp;J$2&amp;$B27,Dados10Fold!$E$1:$F$360,2,FALSE))</f>
        <v>0.5605</v>
      </c>
      <c r="K27" s="5">
        <f>IFERROR(VLOOKUP($A27&amp;K$2&amp;$B27,Dados7030!$E$1:$F$360,2,FALSE), VLOOKUP($A27&amp;K$2&amp;$B27,Dados10Fold!$E$1:$F$360,2,FALSE))</f>
        <v>0.5237</v>
      </c>
      <c r="L27" s="5">
        <f>IFERROR(VLOOKUP($A27&amp;L$2&amp;$B27,Dados7030!$E$1:$F$360,2,FALSE), VLOOKUP($A27&amp;L$2&amp;$B27,Dados10Fold!$E$1:$F$360,2,FALSE))</f>
        <v>0.549</v>
      </c>
      <c r="M27" s="6">
        <f>MEDIAN(C27:L28)</f>
        <v>0.57215</v>
      </c>
      <c r="O27" s="7" t="s">
        <v>37</v>
      </c>
    </row>
    <row r="28">
      <c r="B28" s="4" t="s">
        <v>17</v>
      </c>
      <c r="C28" s="5">
        <f>IFERROR(VLOOKUP($A27&amp;C$2&amp;$B28,Dados7030!$E$1:$F$360,2,FALSE), VLOOKUP($A27&amp;C$2&amp;$B28,Dados10Fold!$E$1:$F$360,2,FALSE))</f>
        <v>0.6205</v>
      </c>
      <c r="D28" s="5">
        <f>IFERROR(VLOOKUP($A27&amp;D$2&amp;$B28,Dados7030!$E$1:$F$360,2,FALSE), VLOOKUP($A27&amp;D$2&amp;$B28,Dados10Fold!$E$1:$F$360,2,FALSE))</f>
        <v>0.6542</v>
      </c>
      <c r="E28" s="5">
        <f>IFERROR(VLOOKUP($A27&amp;E$2&amp;$B28,Dados7030!$E$1:$F$360,2,FALSE), VLOOKUP($A27&amp;E$2&amp;$B28,Dados10Fold!$E$1:$F$360,2,FALSE))</f>
        <v>0.5918</v>
      </c>
      <c r="F28" s="5">
        <f>IFERROR(VLOOKUP($A27&amp;F$2&amp;$B28,Dados7030!$E$1:$F$360,2,FALSE), VLOOKUP($A27&amp;F$2&amp;$B28,Dados10Fold!$E$1:$F$360,2,FALSE))</f>
        <v>0.6289</v>
      </c>
      <c r="G28" s="5">
        <f>IFERROR(VLOOKUP($A27&amp;G$2&amp;$B28,Dados7030!$E$1:$F$360,2,FALSE), VLOOKUP($A27&amp;G$2&amp;$B28,Dados10Fold!$E$1:$F$360,2,FALSE))</f>
        <v>0.5638</v>
      </c>
      <c r="H28" s="5">
        <f>IFERROR(VLOOKUP($A27&amp;H$2&amp;$B28,Dados7030!$E$1:$F$360,2,FALSE), VLOOKUP($A27&amp;H$2&amp;$B28,Dados10Fold!$E$1:$F$360,2,FALSE))</f>
        <v>0.6032</v>
      </c>
      <c r="I28" s="5">
        <f>IFERROR(VLOOKUP($A27&amp;I$2&amp;$B28,Dados7030!$E$1:$F$360,2,FALSE), VLOOKUP($A27&amp;I$2&amp;$B28,Dados10Fold!$E$1:$F$360,2,FALSE))</f>
        <v>0.547</v>
      </c>
      <c r="J28" s="5">
        <f>IFERROR(VLOOKUP($A27&amp;J$2&amp;$B28,Dados7030!$E$1:$F$360,2,FALSE), VLOOKUP($A27&amp;J$2&amp;$B28,Dados10Fold!$E$1:$F$360,2,FALSE))</f>
        <v>0.5807</v>
      </c>
      <c r="K28" s="5">
        <f>IFERROR(VLOOKUP($A27&amp;K$2&amp;$B28,Dados7030!$E$1:$F$360,2,FALSE), VLOOKUP($A27&amp;K$2&amp;$B28,Dados10Fold!$E$1:$F$360,2,FALSE))</f>
        <v>0.5362</v>
      </c>
      <c r="L28" s="5">
        <f>IFERROR(VLOOKUP($A27&amp;L$2&amp;$B28,Dados7030!$E$1:$F$360,2,FALSE), VLOOKUP($A27&amp;L$2&amp;$B28,Dados10Fold!$E$1:$F$360,2,FALSE))</f>
        <v>0.5663</v>
      </c>
      <c r="M28" s="8"/>
    </row>
    <row r="29">
      <c r="A29" s="9" t="s">
        <v>22</v>
      </c>
      <c r="B29" s="10" t="s">
        <v>15</v>
      </c>
      <c r="C29" s="11">
        <f>IFERROR(VLOOKUP($A29&amp;C$2&amp;$B29,Dados7030!$E$1:$F$360,2,FALSE), VLOOKUP($A29&amp;C$2&amp;$B29,Dados10Fold!$E$1:$F$360,2,FALSE))</f>
        <v>0.6542</v>
      </c>
      <c r="D29" s="11">
        <f>IFERROR(VLOOKUP($A29&amp;D$2&amp;$B29,Dados7030!$E$1:$F$360,2,FALSE), VLOOKUP($A29&amp;D$2&amp;$B29,Dados10Fold!$E$1:$F$360,2,FALSE))</f>
        <v>0.6739</v>
      </c>
      <c r="E29" s="11">
        <f>IFERROR(VLOOKUP($A29&amp;E$2&amp;$B29,Dados7030!$E$1:$F$360,2,FALSE), VLOOKUP($A29&amp;E$2&amp;$B29,Dados10Fold!$E$1:$F$360,2,FALSE))</f>
        <v>0.6463</v>
      </c>
      <c r="F29" s="11">
        <f>IFERROR(VLOOKUP($A29&amp;F$2&amp;$B29,Dados7030!$E$1:$F$360,2,FALSE), VLOOKUP($A29&amp;F$2&amp;$B29,Dados10Fold!$E$1:$F$360,2,FALSE))</f>
        <v>0.6669</v>
      </c>
      <c r="G29" s="11">
        <f>IFERROR(VLOOKUP($A29&amp;G$2&amp;$B29,Dados7030!$E$1:$F$360,2,FALSE), VLOOKUP($A29&amp;G$2&amp;$B29,Dados10Fold!$E$1:$F$360,2,FALSE))</f>
        <v>0.6344</v>
      </c>
      <c r="H29" s="11">
        <f>IFERROR(VLOOKUP($A29&amp;H$2&amp;$B29,Dados7030!$E$1:$F$360,2,FALSE), VLOOKUP($A29&amp;H$2&amp;$B29,Dados10Fold!$E$1:$F$360,2,FALSE))</f>
        <v>0.6653</v>
      </c>
      <c r="I29" s="11">
        <f>IFERROR(VLOOKUP($A29&amp;I$2&amp;$B29,Dados7030!$E$1:$F$360,2,FALSE), VLOOKUP($A29&amp;I$2&amp;$B29,Dados10Fold!$E$1:$F$360,2,FALSE))</f>
        <v>0.6292</v>
      </c>
      <c r="J29" s="11">
        <f>IFERROR(VLOOKUP($A29&amp;J$2&amp;$B29,Dados7030!$E$1:$F$360,2,FALSE), VLOOKUP($A29&amp;J$2&amp;$B29,Dados10Fold!$E$1:$F$360,2,FALSE))</f>
        <v>0.6612</v>
      </c>
      <c r="K29" s="11">
        <f>IFERROR(VLOOKUP($A29&amp;K$2&amp;$B29,Dados7030!$E$1:$F$360,2,FALSE), VLOOKUP($A29&amp;K$2&amp;$B29,Dados10Fold!$E$1:$F$360,2,FALSE))</f>
        <v>0.6219</v>
      </c>
      <c r="L29" s="11">
        <f>IFERROR(VLOOKUP($A29&amp;L$2&amp;$B29,Dados7030!$E$1:$F$360,2,FALSE), VLOOKUP($A29&amp;L$2&amp;$B29,Dados10Fold!$E$1:$F$360,2,FALSE))</f>
        <v>0.6612</v>
      </c>
      <c r="M29" s="6">
        <f>MEDIAN(C29:L30)</f>
        <v>0.661</v>
      </c>
      <c r="O29" s="7" t="s">
        <v>38</v>
      </c>
    </row>
    <row r="30">
      <c r="B30" s="10" t="s">
        <v>17</v>
      </c>
      <c r="C30" s="11">
        <f>IFERROR(VLOOKUP($A29&amp;C$2&amp;$B30,Dados7030!$E$1:$F$360,2,FALSE), VLOOKUP($A29&amp;C$2&amp;$B30,Dados10Fold!$E$1:$F$360,2,FALSE))</f>
        <v>0.6665</v>
      </c>
      <c r="D30" s="11">
        <f>IFERROR(VLOOKUP($A29&amp;D$2&amp;$B30,Dados7030!$E$1:$F$360,2,FALSE), VLOOKUP($A29&amp;D$2&amp;$B30,Dados10Fold!$E$1:$F$360,2,FALSE))</f>
        <v>0.6844</v>
      </c>
      <c r="E30" s="11">
        <f>IFERROR(VLOOKUP($A29&amp;E$2&amp;$B30,Dados7030!$E$1:$F$360,2,FALSE), VLOOKUP($A29&amp;E$2&amp;$B30,Dados10Fold!$E$1:$F$360,2,FALSE))</f>
        <v>0.6575</v>
      </c>
      <c r="F30" s="11">
        <f>IFERROR(VLOOKUP($A29&amp;F$2&amp;$B30,Dados7030!$E$1:$F$360,2,FALSE), VLOOKUP($A29&amp;F$2&amp;$B30,Dados10Fold!$E$1:$F$360,2,FALSE))</f>
        <v>0.6822</v>
      </c>
      <c r="G30" s="11">
        <f>IFERROR(VLOOKUP($A29&amp;G$2&amp;$B30,Dados7030!$E$1:$F$360,2,FALSE), VLOOKUP($A29&amp;G$2&amp;$B30,Dados10Fold!$E$1:$F$360,2,FALSE))</f>
        <v>0.6456</v>
      </c>
      <c r="H30" s="11">
        <f>IFERROR(VLOOKUP($A29&amp;H$2&amp;$B30,Dados7030!$E$1:$F$360,2,FALSE), VLOOKUP($A29&amp;H$2&amp;$B30,Dados10Fold!$E$1:$F$360,2,FALSE))</f>
        <v>0.6801</v>
      </c>
      <c r="I30" s="11">
        <f>IFERROR(VLOOKUP($A29&amp;I$2&amp;$B30,Dados7030!$E$1:$F$360,2,FALSE), VLOOKUP($A29&amp;I$2&amp;$B30,Dados10Fold!$E$1:$F$360,2,FALSE))</f>
        <v>0.6386</v>
      </c>
      <c r="J30" s="11">
        <f>IFERROR(VLOOKUP($A29&amp;J$2&amp;$B30,Dados7030!$E$1:$F$360,2,FALSE), VLOOKUP($A29&amp;J$2&amp;$B30,Dados10Fold!$E$1:$F$360,2,FALSE))</f>
        <v>0.6678</v>
      </c>
      <c r="K30" s="11">
        <f>IFERROR(VLOOKUP($A29&amp;K$2&amp;$B30,Dados7030!$E$1:$F$360,2,FALSE), VLOOKUP($A29&amp;K$2&amp;$B30,Dados10Fold!$E$1:$F$360,2,FALSE))</f>
        <v>0.6316</v>
      </c>
      <c r="L30" s="11">
        <f>IFERROR(VLOOKUP($A29&amp;L$2&amp;$B30,Dados7030!$E$1:$F$360,2,FALSE), VLOOKUP($A29&amp;L$2&amp;$B30,Dados10Fold!$E$1:$F$360,2,FALSE))</f>
        <v>0.6608</v>
      </c>
      <c r="M30" s="8"/>
    </row>
    <row r="31">
      <c r="A31" s="9" t="s">
        <v>23</v>
      </c>
      <c r="B31" s="10" t="s">
        <v>15</v>
      </c>
      <c r="C31" s="11">
        <f>IFERROR(VLOOKUP($A31&amp;C$2&amp;$B31,Dados7030!$E$1:$F$360,2,FALSE), VLOOKUP($A31&amp;C$2&amp;$B31,Dados10Fold!$E$1:$F$360,2,FALSE))</f>
        <v>0.6184</v>
      </c>
      <c r="D31" s="11">
        <f>IFERROR(VLOOKUP($A31&amp;D$2&amp;$B31,Dados7030!$E$1:$F$360,2,FALSE), VLOOKUP($A31&amp;D$2&amp;$B31,Dados10Fold!$E$1:$F$360,2,FALSE))</f>
        <v>0.6472</v>
      </c>
      <c r="E31" s="11">
        <f>IFERROR(VLOOKUP($A31&amp;E$2&amp;$B31,Dados7030!$E$1:$F$360,2,FALSE), VLOOKUP($A31&amp;E$2&amp;$B31,Dados10Fold!$E$1:$F$360,2,FALSE))</f>
        <v>0.587</v>
      </c>
      <c r="F31" s="11">
        <f>IFERROR(VLOOKUP($A31&amp;F$2&amp;$B31,Dados7030!$E$1:$F$360,2,FALSE), VLOOKUP($A31&amp;F$2&amp;$B31,Dados10Fold!$E$1:$F$360,2,FALSE))</f>
        <v>0.6324</v>
      </c>
      <c r="G31" s="11">
        <f>IFERROR(VLOOKUP($A31&amp;G$2&amp;$B31,Dados7030!$E$1:$F$360,2,FALSE), VLOOKUP($A31&amp;G$2&amp;$B31,Dados10Fold!$E$1:$F$360,2,FALSE))</f>
        <v>0.5686</v>
      </c>
      <c r="H31" s="11">
        <f>IFERROR(VLOOKUP($A31&amp;H$2&amp;$B31,Dados7030!$E$1:$F$360,2,FALSE), VLOOKUP($A31&amp;H$2&amp;$B31,Dados10Fold!$E$1:$F$360,2,FALSE))</f>
        <v>0.6025</v>
      </c>
      <c r="I31" s="11">
        <f>IFERROR(VLOOKUP($A31&amp;I$2&amp;$B31,Dados7030!$E$1:$F$360,2,FALSE), VLOOKUP($A31&amp;I$2&amp;$B31,Dados10Fold!$E$1:$F$360,2,FALSE))</f>
        <v>0.5607</v>
      </c>
      <c r="J31" s="11">
        <f>IFERROR(VLOOKUP($A31&amp;J$2&amp;$B31,Dados7030!$E$1:$F$360,2,FALSE), VLOOKUP($A31&amp;J$2&amp;$B31,Dados10Fold!$E$1:$F$360,2,FALSE))</f>
        <v>0.5917</v>
      </c>
      <c r="K31" s="11">
        <f>IFERROR(VLOOKUP($A31&amp;K$2&amp;$B31,Dados7030!$E$1:$F$360,2,FALSE), VLOOKUP($A31&amp;K$2&amp;$B31,Dados10Fold!$E$1:$F$360,2,FALSE))</f>
        <v>0.5507</v>
      </c>
      <c r="L31" s="11">
        <f>IFERROR(VLOOKUP($A31&amp;L$2&amp;$B31,Dados7030!$E$1:$F$360,2,FALSE), VLOOKUP($A31&amp;L$2&amp;$B31,Dados10Fold!$E$1:$F$360,2,FALSE))</f>
        <v>0.5838</v>
      </c>
      <c r="M31" s="6">
        <f>MEDIAN(C31:L32)</f>
        <v>0.5979</v>
      </c>
      <c r="O31" s="7" t="s">
        <v>39</v>
      </c>
    </row>
    <row r="32">
      <c r="B32" s="10" t="s">
        <v>17</v>
      </c>
      <c r="C32" s="11">
        <f>IFERROR(VLOOKUP($A31&amp;C$2&amp;$B32,Dados7030!$E$1:$F$360,2,FALSE), VLOOKUP($A31&amp;C$2&amp;$B32,Dados10Fold!$E$1:$F$360,2,FALSE))</f>
        <v>0.641</v>
      </c>
      <c r="D32" s="11">
        <f>IFERROR(VLOOKUP($A31&amp;D$2&amp;$B32,Dados7030!$E$1:$F$360,2,FALSE), VLOOKUP($A31&amp;D$2&amp;$B32,Dados10Fold!$E$1:$F$360,2,FALSE))</f>
        <v>0.6757</v>
      </c>
      <c r="E32" s="11">
        <f>IFERROR(VLOOKUP($A31&amp;E$2&amp;$B32,Dados7030!$E$1:$F$360,2,FALSE), VLOOKUP($A31&amp;E$2&amp;$B32,Dados10Fold!$E$1:$F$360,2,FALSE))</f>
        <v>0.6139</v>
      </c>
      <c r="F32" s="11">
        <f>IFERROR(VLOOKUP($A31&amp;F$2&amp;$B32,Dados7030!$E$1:$F$360,2,FALSE), VLOOKUP($A31&amp;F$2&amp;$B32,Dados10Fold!$E$1:$F$360,2,FALSE))</f>
        <v>0.6541</v>
      </c>
      <c r="G32" s="11">
        <f>IFERROR(VLOOKUP($A31&amp;G$2&amp;$B32,Dados7030!$E$1:$F$360,2,FALSE), VLOOKUP($A31&amp;G$2&amp;$B32,Dados10Fold!$E$1:$F$360,2,FALSE))</f>
        <v>0.5933</v>
      </c>
      <c r="H32" s="11">
        <f>IFERROR(VLOOKUP($A31&amp;H$2&amp;$B32,Dados7030!$E$1:$F$360,2,FALSE), VLOOKUP($A31&amp;H$2&amp;$B32,Dados10Fold!$E$1:$F$360,2,FALSE))</f>
        <v>0.626</v>
      </c>
      <c r="I32" s="11">
        <f>IFERROR(VLOOKUP($A31&amp;I$2&amp;$B32,Dados7030!$E$1:$F$360,2,FALSE), VLOOKUP($A31&amp;I$2&amp;$B32,Dados10Fold!$E$1:$F$360,2,FALSE))</f>
        <v>0.5755</v>
      </c>
      <c r="J32" s="11">
        <f>IFERROR(VLOOKUP($A31&amp;J$2&amp;$B32,Dados7030!$E$1:$F$360,2,FALSE), VLOOKUP($A31&amp;J$2&amp;$B32,Dados10Fold!$E$1:$F$360,2,FALSE))</f>
        <v>0.605</v>
      </c>
      <c r="K32" s="11">
        <f>IFERROR(VLOOKUP($A31&amp;K$2&amp;$B32,Dados7030!$E$1:$F$360,2,FALSE), VLOOKUP($A31&amp;K$2&amp;$B32,Dados10Fold!$E$1:$F$360,2,FALSE))</f>
        <v>0.5599</v>
      </c>
      <c r="L32" s="11">
        <f>IFERROR(VLOOKUP($A31&amp;L$2&amp;$B32,Dados7030!$E$1:$F$360,2,FALSE), VLOOKUP($A31&amp;L$2&amp;$B32,Dados10Fold!$E$1:$F$360,2,FALSE))</f>
        <v>0.5926</v>
      </c>
      <c r="M32" s="8"/>
    </row>
    <row r="33">
      <c r="A33" s="1" t="s">
        <v>40</v>
      </c>
      <c r="B33" s="2" t="s">
        <v>15</v>
      </c>
      <c r="C33" s="12">
        <f>IFERROR(VLOOKUP($A33&amp;C$2&amp;$B33,Dados7030!$E$1:$F$360,2,FALSE), VLOOKUP($A33&amp;C$2&amp;$B33,Dados10Fold!$E$1:$F$360,2,FALSE))</f>
        <v>0.456</v>
      </c>
      <c r="D33" s="12">
        <f>IFERROR(VLOOKUP($A33&amp;D$2&amp;$B33,Dados7030!$E$1:$F$360,2,FALSE), VLOOKUP($A33&amp;D$2&amp;$B33,Dados10Fold!$E$1:$F$360,2,FALSE))</f>
        <v>0.5062</v>
      </c>
      <c r="E33" s="12">
        <f>IFERROR(VLOOKUP($A33&amp;E$2&amp;$B33,Dados7030!$E$1:$F$360,2,FALSE), VLOOKUP($A33&amp;E$2&amp;$B33,Dados10Fold!$E$1:$F$360,2,FALSE))</f>
        <v>0.453</v>
      </c>
      <c r="F33" s="12">
        <f>IFERROR(VLOOKUP($A33&amp;F$2&amp;$B33,Dados7030!$E$1:$F$360,2,FALSE), VLOOKUP($A33&amp;F$2&amp;$B33,Dados10Fold!$E$1:$F$360,2,FALSE))</f>
        <v>0.4795</v>
      </c>
      <c r="G33" s="12">
        <f>IFERROR(VLOOKUP($A33&amp;G$2&amp;$B33,Dados7030!$E$1:$F$360,2,FALSE), VLOOKUP($A33&amp;G$2&amp;$B33,Dados10Fold!$E$1:$F$360,2,FALSE))</f>
        <v>0.4392</v>
      </c>
      <c r="H33" s="12">
        <f>IFERROR(VLOOKUP($A33&amp;H$2&amp;$B33,Dados7030!$E$1:$F$360,2,FALSE), VLOOKUP($A33&amp;H$2&amp;$B33,Dados10Fold!$E$1:$F$360,2,FALSE))</f>
        <v>0.4733</v>
      </c>
      <c r="I33" s="12">
        <f>IFERROR(VLOOKUP($A33&amp;I$2&amp;$B33,Dados7030!$E$1:$F$360,2,FALSE), VLOOKUP($A33&amp;I$2&amp;$B33,Dados10Fold!$E$1:$F$360,2,FALSE))</f>
        <v>0.4302</v>
      </c>
      <c r="J33" s="12">
        <f>IFERROR(VLOOKUP($A33&amp;J$2&amp;$B33,Dados7030!$E$1:$F$360,2,FALSE), VLOOKUP($A33&amp;J$2&amp;$B33,Dados10Fold!$E$1:$F$360,2,FALSE))</f>
        <v>0.463</v>
      </c>
      <c r="K33" s="12">
        <f>IFERROR(VLOOKUP($A33&amp;K$2&amp;$B33,Dados7030!$E$1:$F$360,2,FALSE), VLOOKUP($A33&amp;K$2&amp;$B33,Dados10Fold!$E$1:$F$360,2,FALSE))</f>
        <v>0.4323</v>
      </c>
      <c r="L33" s="12">
        <f>IFERROR(VLOOKUP($A33&amp;L$2&amp;$B33,Dados7030!$E$1:$F$360,2,FALSE), VLOOKUP($A33&amp;L$2&amp;$B33,Dados10Fold!$E$1:$F$360,2,FALSE))</f>
        <v>0.4468</v>
      </c>
      <c r="M33" s="6">
        <f>MEDIAN(C33:L34)</f>
        <v>0.46815</v>
      </c>
      <c r="O33" s="7" t="s">
        <v>41</v>
      </c>
    </row>
    <row r="34">
      <c r="B34" s="2" t="s">
        <v>17</v>
      </c>
      <c r="C34" s="12">
        <f>IFERROR(VLOOKUP($A33&amp;C$2&amp;$B34,Dados7030!$E$1:$F$360,2,FALSE), VLOOKUP($A33&amp;C$2&amp;$B34,Dados10Fold!$E$1:$F$360,2,FALSE))</f>
        <v>0.5669</v>
      </c>
      <c r="D34" s="12">
        <f>IFERROR(VLOOKUP($A33&amp;D$2&amp;$B34,Dados7030!$E$1:$F$360,2,FALSE), VLOOKUP($A33&amp;D$2&amp;$B34,Dados10Fold!$E$1:$F$360,2,FALSE))</f>
        <v>0.5427</v>
      </c>
      <c r="E34" s="12">
        <f>IFERROR(VLOOKUP($A33&amp;E$2&amp;$B34,Dados7030!$E$1:$F$360,2,FALSE), VLOOKUP($A33&amp;E$2&amp;$B34,Dados10Fold!$E$1:$F$360,2,FALSE))</f>
        <v>0.5109</v>
      </c>
      <c r="F34" s="12">
        <f>IFERROR(VLOOKUP($A33&amp;F$2&amp;$B34,Dados7030!$E$1:$F$360,2,FALSE), VLOOKUP($A33&amp;F$2&amp;$B34,Dados10Fold!$E$1:$F$360,2,FALSE))</f>
        <v>0.5475</v>
      </c>
      <c r="G34" s="12">
        <f>IFERROR(VLOOKUP($A33&amp;G$2&amp;$B34,Dados7030!$E$1:$F$360,2,FALSE), VLOOKUP($A33&amp;G$2&amp;$B34,Dados10Fold!$E$1:$F$360,2,FALSE))</f>
        <v>0.4783</v>
      </c>
      <c r="H34" s="12">
        <f>IFERROR(VLOOKUP($A33&amp;H$2&amp;$B34,Dados7030!$E$1:$F$360,2,FALSE), VLOOKUP($A33&amp;H$2&amp;$B34,Dados10Fold!$E$1:$F$360,2,FALSE))</f>
        <v>0.513</v>
      </c>
      <c r="I34" s="12">
        <f>IFERROR(VLOOKUP($A33&amp;I$2&amp;$B34,Dados7030!$E$1:$F$360,2,FALSE), VLOOKUP($A33&amp;I$2&amp;$B34,Dados10Fold!$E$1:$F$360,2,FALSE))</f>
        <v>0.4479</v>
      </c>
      <c r="J34" s="12">
        <f>IFERROR(VLOOKUP($A33&amp;J$2&amp;$B34,Dados7030!$E$1:$F$360,2,FALSE), VLOOKUP($A33&amp;J$2&amp;$B34,Dados10Fold!$E$1:$F$360,2,FALSE))</f>
        <v>0.4837</v>
      </c>
      <c r="K34" s="12">
        <f>IFERROR(VLOOKUP($A33&amp;K$2&amp;$B34,Dados7030!$E$1:$F$360,2,FALSE), VLOOKUP($A33&amp;K$2&amp;$B34,Dados10Fold!$E$1:$F$360,2,FALSE))</f>
        <v>0.4316</v>
      </c>
      <c r="L34" s="12">
        <f>IFERROR(VLOOKUP($A33&amp;L$2&amp;$B34,Dados7030!$E$1:$F$360,2,FALSE), VLOOKUP($A33&amp;L$2&amp;$B34,Dados10Fold!$E$1:$F$360,2,FALSE))</f>
        <v>0.455</v>
      </c>
      <c r="M34" s="8"/>
    </row>
    <row r="35">
      <c r="A35" s="3" t="s">
        <v>42</v>
      </c>
      <c r="B35" s="4" t="s">
        <v>15</v>
      </c>
      <c r="C35" s="5">
        <f>IFERROR(VLOOKUP($A35&amp;C$2&amp;$B35,Dados7030!$E$1:$F$360,2,FALSE), VLOOKUP($A35&amp;C$2&amp;$B35,Dados10Fold!$E$1:$F$360,2,FALSE))</f>
        <v>0.4708</v>
      </c>
      <c r="D35" s="5">
        <f>IFERROR(VLOOKUP($A35&amp;D$2&amp;$B35,Dados7030!$E$1:$F$360,2,FALSE), VLOOKUP($A35&amp;D$2&amp;$B35,Dados10Fold!$E$1:$F$360,2,FALSE))</f>
        <v>0.5233</v>
      </c>
      <c r="E35" s="5">
        <f>IFERROR(VLOOKUP($A35&amp;E$2&amp;$B35,Dados7030!$E$1:$F$360,2,FALSE), VLOOKUP($A35&amp;E$2&amp;$B35,Dados10Fold!$E$1:$F$360,2,FALSE))</f>
        <v>0.4576</v>
      </c>
      <c r="F35" s="5">
        <f>IFERROR(VLOOKUP($A35&amp;F$2&amp;$B35,Dados7030!$E$1:$F$360,2,FALSE), VLOOKUP($A35&amp;F$2&amp;$B35,Dados10Fold!$E$1:$F$360,2,FALSE))</f>
        <v>0.4933</v>
      </c>
      <c r="G35" s="5">
        <f>IFERROR(VLOOKUP($A35&amp;G$2&amp;$B35,Dados7030!$E$1:$F$360,2,FALSE), VLOOKUP($A35&amp;G$2&amp;$B35,Dados10Fold!$E$1:$F$360,2,FALSE))</f>
        <v>0.4425</v>
      </c>
      <c r="H35" s="5">
        <f>IFERROR(VLOOKUP($A35&amp;H$2&amp;$B35,Dados7030!$E$1:$F$360,2,FALSE), VLOOKUP($A35&amp;H$2&amp;$B35,Dados10Fold!$E$1:$F$360,2,FALSE))</f>
        <v>0.4735</v>
      </c>
      <c r="I35" s="5">
        <f>IFERROR(VLOOKUP($A35&amp;I$2&amp;$B35,Dados7030!$E$1:$F$360,2,FALSE), VLOOKUP($A35&amp;I$2&amp;$B35,Dados10Fold!$E$1:$F$360,2,FALSE))</f>
        <v>0.4375</v>
      </c>
      <c r="J35" s="5">
        <f>IFERROR(VLOOKUP($A35&amp;J$2&amp;$B35,Dados7030!$E$1:$F$360,2,FALSE), VLOOKUP($A35&amp;J$2&amp;$B35,Dados10Fold!$E$1:$F$360,2,FALSE))</f>
        <v>0.4657</v>
      </c>
      <c r="K35" s="5">
        <f>IFERROR(VLOOKUP($A35&amp;K$2&amp;$B35,Dados7030!$E$1:$F$360,2,FALSE), VLOOKUP($A35&amp;K$2&amp;$B35,Dados10Fold!$E$1:$F$360,2,FALSE))</f>
        <v>0.427</v>
      </c>
      <c r="L35" s="5">
        <f>IFERROR(VLOOKUP($A35&amp;L$2&amp;$B35,Dados7030!$E$1:$F$360,2,FALSE), VLOOKUP($A35&amp;L$2&amp;$B35,Dados10Fold!$E$1:$F$360,2,FALSE))</f>
        <v>0.4456</v>
      </c>
      <c r="M35" s="6">
        <f>MEDIAN(C35:L36)</f>
        <v>0.47215</v>
      </c>
    </row>
    <row r="36">
      <c r="B36" s="4" t="s">
        <v>17</v>
      </c>
      <c r="C36" s="5">
        <f>IFERROR(VLOOKUP($A35&amp;C$2&amp;$B36,Dados7030!$E$1:$F$360,2,FALSE), VLOOKUP($A35&amp;C$2&amp;$B36,Dados10Fold!$E$1:$F$360,2,FALSE))</f>
        <v>0.5567</v>
      </c>
      <c r="D36" s="5">
        <f>IFERROR(VLOOKUP($A35&amp;D$2&amp;$B36,Dados7030!$E$1:$F$360,2,FALSE), VLOOKUP($A35&amp;D$2&amp;$B36,Dados10Fold!$E$1:$F$360,2,FALSE))</f>
        <v>0.5505</v>
      </c>
      <c r="E36" s="5">
        <f>IFERROR(VLOOKUP($A35&amp;E$2&amp;$B36,Dados7030!$E$1:$F$360,2,FALSE), VLOOKUP($A35&amp;E$2&amp;$B36,Dados10Fold!$E$1:$F$360,2,FALSE))</f>
        <v>0.5164</v>
      </c>
      <c r="F36" s="5">
        <f>IFERROR(VLOOKUP($A35&amp;F$2&amp;$B36,Dados7030!$E$1:$F$360,2,FALSE), VLOOKUP($A35&amp;F$2&amp;$B36,Dados10Fold!$E$1:$F$360,2,FALSE))</f>
        <v>0.5559</v>
      </c>
      <c r="G36" s="5">
        <f>IFERROR(VLOOKUP($A35&amp;G$2&amp;$B36,Dados7030!$E$1:$F$360,2,FALSE), VLOOKUP($A35&amp;G$2&amp;$B36,Dados10Fold!$E$1:$F$360,2,FALSE))</f>
        <v>0.4735</v>
      </c>
      <c r="H36" s="5">
        <f>IFERROR(VLOOKUP($A35&amp;H$2&amp;$B36,Dados7030!$E$1:$F$360,2,FALSE), VLOOKUP($A35&amp;H$2&amp;$B36,Dados10Fold!$E$1:$F$360,2,FALSE))</f>
        <v>0.5122</v>
      </c>
      <c r="I36" s="5">
        <f>IFERROR(VLOOKUP($A35&amp;I$2&amp;$B36,Dados7030!$E$1:$F$360,2,FALSE), VLOOKUP($A35&amp;I$2&amp;$B36,Dados10Fold!$E$1:$F$360,2,FALSE))</f>
        <v>0.4476</v>
      </c>
      <c r="J36" s="5">
        <f>IFERROR(VLOOKUP($A35&amp;J$2&amp;$B36,Dados7030!$E$1:$F$360,2,FALSE), VLOOKUP($A35&amp;J$2&amp;$B36,Dados10Fold!$E$1:$F$360,2,FALSE))</f>
        <v>0.4808</v>
      </c>
      <c r="K36" s="5">
        <f>IFERROR(VLOOKUP($A35&amp;K$2&amp;$B36,Dados7030!$E$1:$F$360,2,FALSE), VLOOKUP($A35&amp;K$2&amp;$B36,Dados10Fold!$E$1:$F$360,2,FALSE))</f>
        <v>0.4275</v>
      </c>
      <c r="L36" s="5">
        <f>IFERROR(VLOOKUP($A35&amp;L$2&amp;$B36,Dados7030!$E$1:$F$360,2,FALSE), VLOOKUP($A35&amp;L$2&amp;$B36,Dados10Fold!$E$1:$F$360,2,FALSE))</f>
        <v>0.4546</v>
      </c>
      <c r="M36" s="8"/>
    </row>
    <row r="37">
      <c r="A37" s="1" t="s">
        <v>43</v>
      </c>
      <c r="B37" s="2" t="s">
        <v>15</v>
      </c>
      <c r="C37" s="12">
        <f>IFERROR(VLOOKUP($A37&amp;C$2&amp;$B37,Dados7030!$E$1:$F$360,2,FALSE), VLOOKUP($A37&amp;C$2&amp;$B37,Dados10Fold!$E$1:$F$360,2,FALSE))</f>
        <v>0.4516</v>
      </c>
      <c r="D37" s="12">
        <f>IFERROR(VLOOKUP($A37&amp;D$2&amp;$B37,Dados7030!$E$1:$F$360,2,FALSE), VLOOKUP($A37&amp;D$2&amp;$B37,Dados10Fold!$E$1:$F$360,2,FALSE))</f>
        <v>0.5091</v>
      </c>
      <c r="E37" s="12">
        <f>IFERROR(VLOOKUP($A37&amp;E$2&amp;$B37,Dados7030!$E$1:$F$360,2,FALSE), VLOOKUP($A37&amp;E$2&amp;$B37,Dados10Fold!$E$1:$F$360,2,FALSE))</f>
        <v>0.4403</v>
      </c>
      <c r="F37" s="12">
        <f>IFERROR(VLOOKUP($A37&amp;F$2&amp;$B37,Dados7030!$E$1:$F$360,2,FALSE), VLOOKUP($A37&amp;F$2&amp;$B37,Dados10Fold!$E$1:$F$360,2,FALSE))</f>
        <v>0.4755</v>
      </c>
      <c r="G37" s="12">
        <f>IFERROR(VLOOKUP($A37&amp;G$2&amp;$B37,Dados7030!$E$1:$F$360,2,FALSE), VLOOKUP($A37&amp;G$2&amp;$B37,Dados10Fold!$E$1:$F$360,2,FALSE))</f>
        <v>0.4272</v>
      </c>
      <c r="H37" s="12">
        <f>IFERROR(VLOOKUP($A37&amp;H$2&amp;$B37,Dados7030!$E$1:$F$360,2,FALSE), VLOOKUP($A37&amp;H$2&amp;$B37,Dados10Fold!$E$1:$F$360,2,FALSE))</f>
        <v>0.4528</v>
      </c>
      <c r="I37" s="12">
        <f>IFERROR(VLOOKUP($A37&amp;I$2&amp;$B37,Dados7030!$E$1:$F$360,2,FALSE), VLOOKUP($A37&amp;I$2&amp;$B37,Dados10Fold!$E$1:$F$360,2,FALSE))</f>
        <v>0.4222</v>
      </c>
      <c r="J37" s="12">
        <f>IFERROR(VLOOKUP($A37&amp;J$2&amp;$B37,Dados7030!$E$1:$F$360,2,FALSE), VLOOKUP($A37&amp;J$2&amp;$B37,Dados10Fold!$E$1:$F$360,2,FALSE))</f>
        <v>0.4459</v>
      </c>
      <c r="K37" s="12">
        <f>IFERROR(VLOOKUP($A37&amp;K$2&amp;$B37,Dados7030!$E$1:$F$360,2,FALSE), VLOOKUP($A37&amp;K$2&amp;$B37,Dados10Fold!$E$1:$F$360,2,FALSE))</f>
        <v>0.4137</v>
      </c>
      <c r="L37" s="12">
        <f>IFERROR(VLOOKUP($A37&amp;L$2&amp;$B37,Dados7030!$E$1:$F$360,2,FALSE), VLOOKUP($A37&amp;L$2&amp;$B37,Dados10Fold!$E$1:$F$360,2,FALSE))</f>
        <v>0.4285</v>
      </c>
      <c r="M37" s="6">
        <f>MEDIAN(C37:L38)</f>
        <v>0.4522</v>
      </c>
    </row>
    <row r="38">
      <c r="B38" s="2" t="s">
        <v>17</v>
      </c>
      <c r="C38" s="12">
        <f>IFERROR(VLOOKUP($A37&amp;C$2&amp;$B38,Dados7030!$E$1:$F$360,2,FALSE), VLOOKUP($A37&amp;C$2&amp;$B38,Dados10Fold!$E$1:$F$360,2,FALSE))</f>
        <v>0.5592</v>
      </c>
      <c r="D38" s="12">
        <f>IFERROR(VLOOKUP($A37&amp;D$2&amp;$B38,Dados7030!$E$1:$F$360,2,FALSE), VLOOKUP($A37&amp;D$2&amp;$B38,Dados10Fold!$E$1:$F$360,2,FALSE))</f>
        <v>0.5364</v>
      </c>
      <c r="E38" s="12">
        <f>IFERROR(VLOOKUP($A37&amp;E$2&amp;$B38,Dados7030!$E$1:$F$360,2,FALSE), VLOOKUP($A37&amp;E$2&amp;$B38,Dados10Fold!$E$1:$F$360,2,FALSE))</f>
        <v>0.5063</v>
      </c>
      <c r="F38" s="12">
        <f>IFERROR(VLOOKUP($A37&amp;F$2&amp;$B38,Dados7030!$E$1:$F$360,2,FALSE), VLOOKUP($A37&amp;F$2&amp;$B38,Dados10Fold!$E$1:$F$360,2,FALSE))</f>
        <v>0.546</v>
      </c>
      <c r="G38" s="12">
        <f>IFERROR(VLOOKUP($A37&amp;G$2&amp;$B38,Dados7030!$E$1:$F$360,2,FALSE), VLOOKUP($A37&amp;G$2&amp;$B38,Dados10Fold!$E$1:$F$360,2,FALSE))</f>
        <v>0.4694</v>
      </c>
      <c r="H38" s="12">
        <f>IFERROR(VLOOKUP($A37&amp;H$2&amp;$B38,Dados7030!$E$1:$F$360,2,FALSE), VLOOKUP($A37&amp;H$2&amp;$B38,Dados10Fold!$E$1:$F$360,2,FALSE))</f>
        <v>0.5037</v>
      </c>
      <c r="I38" s="12">
        <f>IFERROR(VLOOKUP($A37&amp;I$2&amp;$B38,Dados7030!$E$1:$F$360,2,FALSE), VLOOKUP($A37&amp;I$2&amp;$B38,Dados10Fold!$E$1:$F$360,2,FALSE))</f>
        <v>0.4355</v>
      </c>
      <c r="J38" s="12">
        <f>IFERROR(VLOOKUP($A37&amp;J$2&amp;$B38,Dados7030!$E$1:$F$360,2,FALSE), VLOOKUP($A37&amp;J$2&amp;$B38,Dados10Fold!$E$1:$F$360,2,FALSE))</f>
        <v>0.4668</v>
      </c>
      <c r="K38" s="12">
        <f>IFERROR(VLOOKUP($A37&amp;K$2&amp;$B38,Dados7030!$E$1:$F$360,2,FALSE), VLOOKUP($A37&amp;K$2&amp;$B38,Dados10Fold!$E$1:$F$360,2,FALSE))</f>
        <v>0.4232</v>
      </c>
      <c r="L38" s="12">
        <f>IFERROR(VLOOKUP($A37&amp;L$2&amp;$B38,Dados7030!$E$1:$F$360,2,FALSE), VLOOKUP($A37&amp;L$2&amp;$B38,Dados10Fold!$E$1:$F$360,2,FALSE))</f>
        <v>0.4445</v>
      </c>
      <c r="M38" s="8"/>
    </row>
    <row r="39">
      <c r="A39" s="9" t="s">
        <v>25</v>
      </c>
      <c r="B39" s="10" t="s">
        <v>15</v>
      </c>
      <c r="C39" s="11">
        <f>IFERROR(VLOOKUP($A39&amp;C$2&amp;$B39,Dados7030!$E$1:$F$360,2,FALSE), VLOOKUP($A39&amp;C$2&amp;$B39,Dados10Fold!$E$1:$F$360,2,FALSE))</f>
        <v>0.5636</v>
      </c>
      <c r="D39" s="11">
        <f>IFERROR(VLOOKUP($A39&amp;D$2&amp;$B39,Dados7030!$E$1:$F$360,2,FALSE), VLOOKUP($A39&amp;D$2&amp;$B39,Dados10Fold!$E$1:$F$360,2,FALSE))</f>
        <v>0.5382</v>
      </c>
      <c r="E39" s="11">
        <f>IFERROR(VLOOKUP($A39&amp;E$2&amp;$B39,Dados7030!$E$1:$F$360,2,FALSE), VLOOKUP($A39&amp;E$2&amp;$B39,Dados10Fold!$E$1:$F$360,2,FALSE))</f>
        <v>0.6088</v>
      </c>
      <c r="F39" s="11">
        <f>IFERROR(VLOOKUP($A39&amp;F$2&amp;$B39,Dados7030!$E$1:$F$360,2,FALSE), VLOOKUP($A39&amp;F$2&amp;$B39,Dados10Fold!$E$1:$F$360,2,FALSE))</f>
        <v>0.5742</v>
      </c>
      <c r="G39" s="11">
        <f>IFERROR(VLOOKUP($A39&amp;G$2&amp;$B39,Dados7030!$E$1:$F$360,2,FALSE), VLOOKUP($A39&amp;G$2&amp;$B39,Dados10Fold!$E$1:$F$360,2,FALSE))</f>
        <v>0.6142</v>
      </c>
      <c r="H39" s="11">
        <f>IFERROR(VLOOKUP($A39&amp;H$2&amp;$B39,Dados7030!$E$1:$F$360,2,FALSE), VLOOKUP($A39&amp;H$2&amp;$B39,Dados10Fold!$E$1:$F$360,2,FALSE))</f>
        <v>0.5949</v>
      </c>
      <c r="I39" s="11">
        <f>IFERROR(VLOOKUP($A39&amp;I$2&amp;$B39,Dados7030!$E$1:$F$360,2,FALSE), VLOOKUP($A39&amp;I$2&amp;$B39,Dados10Fold!$E$1:$F$360,2,FALSE))</f>
        <v>0.6113</v>
      </c>
      <c r="J39" s="11">
        <f>IFERROR(VLOOKUP($A39&amp;J$2&amp;$B39,Dados7030!$E$1:$F$360,2,FALSE), VLOOKUP($A39&amp;J$2&amp;$B39,Dados10Fold!$E$1:$F$360,2,FALSE))</f>
        <v>0.594</v>
      </c>
      <c r="K39" s="11">
        <f>IFERROR(VLOOKUP($A39&amp;K$2&amp;$B39,Dados7030!$E$1:$F$360,2,FALSE), VLOOKUP($A39&amp;K$2&amp;$B39,Dados10Fold!$E$1:$F$360,2,FALSE))</f>
        <v>0.6084</v>
      </c>
      <c r="L39" s="11">
        <f>IFERROR(VLOOKUP($A39&amp;L$2&amp;$B39,Dados7030!$E$1:$F$360,2,FALSE), VLOOKUP($A39&amp;L$2&amp;$B39,Dados10Fold!$E$1:$F$360,2,FALSE))</f>
        <v>0.613</v>
      </c>
      <c r="M39" s="6">
        <f>MEDIAN(C39:L40)</f>
        <v>0.6085</v>
      </c>
    </row>
    <row r="40">
      <c r="B40" s="10" t="s">
        <v>17</v>
      </c>
      <c r="C40" s="11">
        <f>IFERROR(VLOOKUP($A39&amp;C$2&amp;$B40,Dados7030!$E$1:$F$360,2,FALSE), VLOOKUP($A39&amp;C$2&amp;$B40,Dados10Fold!$E$1:$F$360,2,FALSE))</f>
        <v>0.572</v>
      </c>
      <c r="D40" s="11">
        <f>IFERROR(VLOOKUP($A39&amp;D$2&amp;$B40,Dados7030!$E$1:$F$360,2,FALSE), VLOOKUP($A39&amp;D$2&amp;$B40,Dados10Fold!$E$1:$F$360,2,FALSE))</f>
        <v>0.5499</v>
      </c>
      <c r="E40" s="11">
        <f>IFERROR(VLOOKUP($A39&amp;E$2&amp;$B40,Dados7030!$E$1:$F$360,2,FALSE), VLOOKUP($A39&amp;E$2&amp;$B40,Dados10Fold!$E$1:$F$360,2,FALSE))</f>
        <v>0.5964</v>
      </c>
      <c r="F40" s="11">
        <f>IFERROR(VLOOKUP($A39&amp;F$2&amp;$B40,Dados7030!$E$1:$F$360,2,FALSE), VLOOKUP($A39&amp;F$2&amp;$B40,Dados10Fold!$E$1:$F$360,2,FALSE))</f>
        <v>0.5843</v>
      </c>
      <c r="G40" s="11">
        <f>IFERROR(VLOOKUP($A39&amp;G$2&amp;$B40,Dados7030!$E$1:$F$360,2,FALSE), VLOOKUP($A39&amp;G$2&amp;$B40,Dados10Fold!$E$1:$F$360,2,FALSE))</f>
        <v>0.6123</v>
      </c>
      <c r="H40" s="11">
        <f>IFERROR(VLOOKUP($A39&amp;H$2&amp;$B40,Dados7030!$E$1:$F$360,2,FALSE), VLOOKUP($A39&amp;H$2&amp;$B40,Dados10Fold!$E$1:$F$360,2,FALSE))</f>
        <v>0.6114</v>
      </c>
      <c r="I40" s="11">
        <f>IFERROR(VLOOKUP($A39&amp;I$2&amp;$B40,Dados7030!$E$1:$F$360,2,FALSE), VLOOKUP($A39&amp;I$2&amp;$B40,Dados10Fold!$E$1:$F$360,2,FALSE))</f>
        <v>0.6128</v>
      </c>
      <c r="J40" s="11">
        <f>IFERROR(VLOOKUP($A39&amp;J$2&amp;$B40,Dados7030!$E$1:$F$360,2,FALSE), VLOOKUP($A39&amp;J$2&amp;$B40,Dados10Fold!$E$1:$F$360,2,FALSE))</f>
        <v>0.6086</v>
      </c>
      <c r="K40" s="11">
        <f>IFERROR(VLOOKUP($A39&amp;K$2&amp;$B40,Dados7030!$E$1:$F$360,2,FALSE), VLOOKUP($A39&amp;K$2&amp;$B40,Dados10Fold!$E$1:$F$360,2,FALSE))</f>
        <v>0.6128</v>
      </c>
      <c r="L40" s="11">
        <f>IFERROR(VLOOKUP($A39&amp;L$2&amp;$B40,Dados7030!$E$1:$F$360,2,FALSE), VLOOKUP($A39&amp;L$2&amp;$B40,Dados10Fold!$E$1:$F$360,2,FALSE))</f>
        <v>0.6248</v>
      </c>
      <c r="M40" s="8"/>
    </row>
    <row r="41">
      <c r="A41" s="1" t="s">
        <v>44</v>
      </c>
      <c r="B41" s="2" t="s">
        <v>15</v>
      </c>
      <c r="C41" s="12">
        <f>IFERROR(VLOOKUP($A41&amp;C$2&amp;$B41,Dados7030!$E$1:$F$360,2,FALSE), VLOOKUP($A41&amp;C$2&amp;$B41,Dados10Fold!$E$1:$F$360,2,FALSE))</f>
        <v>0.5733</v>
      </c>
      <c r="D41" s="12">
        <f>IFERROR(VLOOKUP($A41&amp;D$2&amp;$B41,Dados7030!$E$1:$F$360,2,FALSE), VLOOKUP($A41&amp;D$2&amp;$B41,Dados10Fold!$E$1:$F$360,2,FALSE))</f>
        <v>0.5396</v>
      </c>
      <c r="E41" s="12">
        <f>IFERROR(VLOOKUP($A41&amp;E$2&amp;$B41,Dados7030!$E$1:$F$360,2,FALSE), VLOOKUP($A41&amp;E$2&amp;$B41,Dados10Fold!$E$1:$F$360,2,FALSE))</f>
        <v>0.5761</v>
      </c>
      <c r="F41" s="12">
        <f>IFERROR(VLOOKUP($A41&amp;F$2&amp;$B41,Dados7030!$E$1:$F$360,2,FALSE), VLOOKUP($A41&amp;F$2&amp;$B41,Dados10Fold!$E$1:$F$360,2,FALSE))</f>
        <v>0.571</v>
      </c>
      <c r="G41" s="12">
        <f>IFERROR(VLOOKUP($A41&amp;G$2&amp;$B41,Dados7030!$E$1:$F$360,2,FALSE), VLOOKUP($A41&amp;G$2&amp;$B41,Dados10Fold!$E$1:$F$360,2,FALSE))</f>
        <v>0.5914</v>
      </c>
      <c r="H41" s="12">
        <f>IFERROR(VLOOKUP($A41&amp;H$2&amp;$B41,Dados7030!$E$1:$F$360,2,FALSE), VLOOKUP($A41&amp;H$2&amp;$B41,Dados10Fold!$E$1:$F$360,2,FALSE))</f>
        <v>0.586</v>
      </c>
      <c r="I41" s="12">
        <f>IFERROR(VLOOKUP($A41&amp;I$2&amp;$B41,Dados7030!$E$1:$F$360,2,FALSE), VLOOKUP($A41&amp;I$2&amp;$B41,Dados10Fold!$E$1:$F$360,2,FALSE))</f>
        <v>0.605</v>
      </c>
      <c r="J41" s="12">
        <f>IFERROR(VLOOKUP($A41&amp;J$2&amp;$B41,Dados7030!$E$1:$F$360,2,FALSE), VLOOKUP($A41&amp;J$2&amp;$B41,Dados10Fold!$E$1:$F$360,2,FALSE))</f>
        <v>0.5902</v>
      </c>
      <c r="K41" s="12">
        <f>IFERROR(VLOOKUP($A41&amp;K$2&amp;$B41,Dados7030!$E$1:$F$360,2,FALSE), VLOOKUP($A41&amp;K$2&amp;$B41,Dados10Fold!$E$1:$F$360,2,FALSE))</f>
        <v>0.5992</v>
      </c>
      <c r="L41" s="12">
        <f>IFERROR(VLOOKUP($A41&amp;L$2&amp;$B41,Dados7030!$E$1:$F$360,2,FALSE), VLOOKUP($A41&amp;L$2&amp;$B41,Dados10Fold!$E$1:$F$360,2,FALSE))</f>
        <v>0.59</v>
      </c>
      <c r="M41" s="6">
        <f>MEDIAN(C41:L42)</f>
        <v>0.58585</v>
      </c>
    </row>
    <row r="42">
      <c r="B42" s="2" t="s">
        <v>17</v>
      </c>
      <c r="C42" s="12">
        <f>IFERROR(VLOOKUP($A41&amp;C$2&amp;$B42,Dados7030!$E$1:$F$360,2,FALSE), VLOOKUP($A41&amp;C$2&amp;$B42,Dados10Fold!$E$1:$F$360,2,FALSE))</f>
        <v>0.5601</v>
      </c>
      <c r="D42" s="12">
        <f>IFERROR(VLOOKUP($A41&amp;D$2&amp;$B42,Dados7030!$E$1:$F$360,2,FALSE), VLOOKUP($A41&amp;D$2&amp;$B42,Dados10Fold!$E$1:$F$360,2,FALSE))</f>
        <v>0.5413</v>
      </c>
      <c r="E42" s="12">
        <f>IFERROR(VLOOKUP($A41&amp;E$2&amp;$B42,Dados7030!$E$1:$F$360,2,FALSE), VLOOKUP($A41&amp;E$2&amp;$B42,Dados10Fold!$E$1:$F$360,2,FALSE))</f>
        <v>0.5775</v>
      </c>
      <c r="F42" s="12">
        <f>IFERROR(VLOOKUP($A41&amp;F$2&amp;$B42,Dados7030!$E$1:$F$360,2,FALSE), VLOOKUP($A41&amp;F$2&amp;$B42,Dados10Fold!$E$1:$F$360,2,FALSE))</f>
        <v>0.5629</v>
      </c>
      <c r="G42" s="12">
        <f>IFERROR(VLOOKUP($A41&amp;G$2&amp;$B42,Dados7030!$E$1:$F$360,2,FALSE), VLOOKUP($A41&amp;G$2&amp;$B42,Dados10Fold!$E$1:$F$360,2,FALSE))</f>
        <v>0.5857</v>
      </c>
      <c r="H42" s="12">
        <f>IFERROR(VLOOKUP($A41&amp;H$2&amp;$B42,Dados7030!$E$1:$F$360,2,FALSE), VLOOKUP($A41&amp;H$2&amp;$B42,Dados10Fold!$E$1:$F$360,2,FALSE))</f>
        <v>0.5779</v>
      </c>
      <c r="I42" s="12">
        <f>IFERROR(VLOOKUP($A41&amp;I$2&amp;$B42,Dados7030!$E$1:$F$360,2,FALSE), VLOOKUP($A41&amp;I$2&amp;$B42,Dados10Fold!$E$1:$F$360,2,FALSE))</f>
        <v>0.5917</v>
      </c>
      <c r="J42" s="12">
        <f>IFERROR(VLOOKUP($A41&amp;J$2&amp;$B42,Dados7030!$E$1:$F$360,2,FALSE), VLOOKUP($A41&amp;J$2&amp;$B42,Dados10Fold!$E$1:$F$360,2,FALSE))</f>
        <v>0.5919</v>
      </c>
      <c r="K42" s="12">
        <f>IFERROR(VLOOKUP($A41&amp;K$2&amp;$B42,Dados7030!$E$1:$F$360,2,FALSE), VLOOKUP($A41&amp;K$2&amp;$B42,Dados10Fold!$E$1:$F$360,2,FALSE))</f>
        <v>0.5989</v>
      </c>
      <c r="L42" s="12">
        <f>IFERROR(VLOOKUP($A41&amp;L$2&amp;$B42,Dados7030!$E$1:$F$360,2,FALSE), VLOOKUP($A41&amp;L$2&amp;$B42,Dados10Fold!$E$1:$F$360,2,FALSE))</f>
        <v>0.5978</v>
      </c>
      <c r="M42" s="8"/>
    </row>
    <row r="43">
      <c r="A43" s="3" t="s">
        <v>45</v>
      </c>
      <c r="B43" s="4" t="s">
        <v>15</v>
      </c>
      <c r="C43" s="5">
        <f>IFERROR(VLOOKUP($A43&amp;C$2&amp;$B43,Dados7030!$E$1:$F$360,2,FALSE), VLOOKUP($A43&amp;C$2&amp;$B43,Dados10Fold!$E$1:$F$360,2,FALSE))</f>
        <v>0.5593</v>
      </c>
      <c r="D43" s="5">
        <f>IFERROR(VLOOKUP($A43&amp;D$2&amp;$B43,Dados7030!$E$1:$F$360,2,FALSE), VLOOKUP($A43&amp;D$2&amp;$B43,Dados10Fold!$E$1:$F$360,2,FALSE))</f>
        <v>0.5094</v>
      </c>
      <c r="E43" s="5">
        <f>IFERROR(VLOOKUP($A43&amp;E$2&amp;$B43,Dados7030!$E$1:$F$360,2,FALSE), VLOOKUP($A43&amp;E$2&amp;$B43,Dados10Fold!$E$1:$F$360,2,FALSE))</f>
        <v>0.5653</v>
      </c>
      <c r="F43" s="5">
        <f>IFERROR(VLOOKUP($A43&amp;F$2&amp;$B43,Dados7030!$E$1:$F$360,2,FALSE), VLOOKUP($A43&amp;F$2&amp;$B43,Dados10Fold!$E$1:$F$360,2,FALSE))</f>
        <v>0.5597</v>
      </c>
      <c r="G43" s="5">
        <f>IFERROR(VLOOKUP($A43&amp;G$2&amp;$B43,Dados7030!$E$1:$F$360,2,FALSE), VLOOKUP($A43&amp;G$2&amp;$B43,Dados10Fold!$E$1:$F$360,2,FALSE))</f>
        <v>0.5874</v>
      </c>
      <c r="H43" s="5">
        <f>IFERROR(VLOOKUP($A43&amp;H$2&amp;$B43,Dados7030!$E$1:$F$360,2,FALSE), VLOOKUP($A43&amp;H$2&amp;$B43,Dados10Fold!$E$1:$F$360,2,FALSE))</f>
        <v>0.5703</v>
      </c>
      <c r="I43" s="5">
        <f>IFERROR(VLOOKUP($A43&amp;I$2&amp;$B43,Dados7030!$E$1:$F$360,2,FALSE), VLOOKUP($A43&amp;I$2&amp;$B43,Dados10Fold!$E$1:$F$360,2,FALSE))</f>
        <v>0.5684</v>
      </c>
      <c r="J43" s="5">
        <f>IFERROR(VLOOKUP($A43&amp;J$2&amp;$B43,Dados7030!$E$1:$F$360,2,FALSE), VLOOKUP($A43&amp;J$2&amp;$B43,Dados10Fold!$E$1:$F$360,2,FALSE))</f>
        <v>0.5867</v>
      </c>
      <c r="K43" s="5">
        <f>IFERROR(VLOOKUP($A43&amp;K$2&amp;$B43,Dados7030!$E$1:$F$360,2,FALSE), VLOOKUP($A43&amp;K$2&amp;$B43,Dados10Fold!$E$1:$F$360,2,FALSE))</f>
        <v>0.594</v>
      </c>
      <c r="L43" s="5">
        <f>IFERROR(VLOOKUP($A43&amp;L$2&amp;$B43,Dados7030!$E$1:$F$360,2,FALSE), VLOOKUP($A43&amp;L$2&amp;$B43,Dados10Fold!$E$1:$F$360,2,FALSE))</f>
        <v>0.6</v>
      </c>
      <c r="M43" s="6">
        <f>MEDIAN(C43:L44)</f>
        <v>0.5808</v>
      </c>
    </row>
    <row r="44">
      <c r="B44" s="4" t="s">
        <v>17</v>
      </c>
      <c r="C44" s="5">
        <f>IFERROR(VLOOKUP($A43&amp;C$2&amp;$B44,Dados7030!$E$1:$F$360,2,FALSE), VLOOKUP($A43&amp;C$2&amp;$B44,Dados10Fold!$E$1:$F$360,2,FALSE))</f>
        <v>0.5671</v>
      </c>
      <c r="D44" s="5">
        <f>IFERROR(VLOOKUP($A43&amp;D$2&amp;$B44,Dados7030!$E$1:$F$360,2,FALSE), VLOOKUP($A43&amp;D$2&amp;$B44,Dados10Fold!$E$1:$F$360,2,FALSE))</f>
        <v>0.5447</v>
      </c>
      <c r="E44" s="5">
        <f>IFERROR(VLOOKUP($A43&amp;E$2&amp;$B44,Dados7030!$E$1:$F$360,2,FALSE), VLOOKUP($A43&amp;E$2&amp;$B44,Dados10Fold!$E$1:$F$360,2,FALSE))</f>
        <v>0.5782</v>
      </c>
      <c r="F44" s="5">
        <f>IFERROR(VLOOKUP($A43&amp;F$2&amp;$B44,Dados7030!$E$1:$F$360,2,FALSE), VLOOKUP($A43&amp;F$2&amp;$B44,Dados10Fold!$E$1:$F$360,2,FALSE))</f>
        <v>0.5647</v>
      </c>
      <c r="G44" s="5">
        <f>IFERROR(VLOOKUP($A43&amp;G$2&amp;$B44,Dados7030!$E$1:$F$360,2,FALSE), VLOOKUP($A43&amp;G$2&amp;$B44,Dados10Fold!$E$1:$F$360,2,FALSE))</f>
        <v>0.5834</v>
      </c>
      <c r="H44" s="5">
        <f>IFERROR(VLOOKUP($A43&amp;H$2&amp;$B44,Dados7030!$E$1:$F$360,2,FALSE), VLOOKUP($A43&amp;H$2&amp;$B44,Dados10Fold!$E$1:$F$360,2,FALSE))</f>
        <v>0.5836</v>
      </c>
      <c r="I44" s="5">
        <f>IFERROR(VLOOKUP($A43&amp;I$2&amp;$B44,Dados7030!$E$1:$F$360,2,FALSE), VLOOKUP($A43&amp;I$2&amp;$B44,Dados10Fold!$E$1:$F$360,2,FALSE))</f>
        <v>0.591</v>
      </c>
      <c r="J44" s="5">
        <f>IFERROR(VLOOKUP($A43&amp;J$2&amp;$B44,Dados7030!$E$1:$F$360,2,FALSE), VLOOKUP($A43&amp;J$2&amp;$B44,Dados10Fold!$E$1:$F$360,2,FALSE))</f>
        <v>0.5927</v>
      </c>
      <c r="K44" s="5">
        <f>IFERROR(VLOOKUP($A43&amp;K$2&amp;$B44,Dados7030!$E$1:$F$360,2,FALSE), VLOOKUP($A43&amp;K$2&amp;$B44,Dados10Fold!$E$1:$F$360,2,FALSE))</f>
        <v>0.5921</v>
      </c>
      <c r="L44" s="5">
        <f>IFERROR(VLOOKUP($A43&amp;L$2&amp;$B44,Dados7030!$E$1:$F$360,2,FALSE), VLOOKUP($A43&amp;L$2&amp;$B44,Dados10Fold!$E$1:$F$360,2,FALSE))</f>
        <v>0.5977</v>
      </c>
      <c r="M44" s="8"/>
    </row>
    <row r="45">
      <c r="A45" s="9" t="s">
        <v>27</v>
      </c>
      <c r="B45" s="10" t="s">
        <v>15</v>
      </c>
      <c r="C45" s="11">
        <f>IFERROR(VLOOKUP($A45&amp;C$2&amp;$B45,Dados7030!$E$1:$F$360,2,FALSE), VLOOKUP($A45&amp;C$2&amp;$B45,Dados10Fold!$E$1:$F$360,2,FALSE))</f>
        <v>0.5831</v>
      </c>
      <c r="D45" s="11">
        <f>IFERROR(VLOOKUP($A45&amp;D$2&amp;$B45,Dados7030!$E$1:$F$360,2,FALSE), VLOOKUP($A45&amp;D$2&amp;$B45,Dados10Fold!$E$1:$F$360,2,FALSE))</f>
        <v>0.5479</v>
      </c>
      <c r="E45" s="11">
        <f>IFERROR(VLOOKUP($A45&amp;E$2&amp;$B45,Dados7030!$E$1:$F$360,2,FALSE), VLOOKUP($A45&amp;E$2&amp;$B45,Dados10Fold!$E$1:$F$360,2,FALSE))</f>
        <v>0.578</v>
      </c>
      <c r="F45" s="11">
        <f>IFERROR(VLOOKUP($A45&amp;F$2&amp;$B45,Dados7030!$E$1:$F$360,2,FALSE), VLOOKUP($A45&amp;F$2&amp;$B45,Dados10Fold!$E$1:$F$360,2,FALSE))</f>
        <v>0.5723</v>
      </c>
      <c r="G45" s="11">
        <f>IFERROR(VLOOKUP($A45&amp;G$2&amp;$B45,Dados7030!$E$1:$F$360,2,FALSE), VLOOKUP($A45&amp;G$2&amp;$B45,Dados10Fold!$E$1:$F$360,2,FALSE))</f>
        <v>0.6036</v>
      </c>
      <c r="H45" s="11">
        <f>IFERROR(VLOOKUP($A45&amp;H$2&amp;$B45,Dados7030!$E$1:$F$360,2,FALSE), VLOOKUP($A45&amp;H$2&amp;$B45,Dados10Fold!$E$1:$F$360,2,FALSE))</f>
        <v>0.6053</v>
      </c>
      <c r="I45" s="11">
        <f>IFERROR(VLOOKUP($A45&amp;I$2&amp;$B45,Dados7030!$E$1:$F$360,2,FALSE), VLOOKUP($A45&amp;I$2&amp;$B45,Dados10Fold!$E$1:$F$360,2,FALSE))</f>
        <v>0.6154</v>
      </c>
      <c r="J45" s="11">
        <f>IFERROR(VLOOKUP($A45&amp;J$2&amp;$B45,Dados7030!$E$1:$F$360,2,FALSE), VLOOKUP($A45&amp;J$2&amp;$B45,Dados10Fold!$E$1:$F$360,2,FALSE))</f>
        <v>0.6156</v>
      </c>
      <c r="K45" s="11">
        <f>IFERROR(VLOOKUP($A45&amp;K$2&amp;$B45,Dados7030!$E$1:$F$360,2,FALSE), VLOOKUP($A45&amp;K$2&amp;$B45,Dados10Fold!$E$1:$F$360,2,FALSE))</f>
        <v>0.6384</v>
      </c>
      <c r="L45" s="11">
        <f>IFERROR(VLOOKUP($A45&amp;L$2&amp;$B45,Dados7030!$E$1:$F$360,2,FALSE), VLOOKUP($A45&amp;L$2&amp;$B45,Dados10Fold!$E$1:$F$360,2,FALSE))</f>
        <v>0.6259</v>
      </c>
      <c r="M45" s="6">
        <f>MEDIAN(C45:L46)</f>
        <v>0.6071</v>
      </c>
    </row>
    <row r="46">
      <c r="B46" s="10" t="s">
        <v>17</v>
      </c>
      <c r="C46" s="11">
        <f>IFERROR(VLOOKUP($A45&amp;C$2&amp;$B46,Dados7030!$E$1:$F$360,2,FALSE), VLOOKUP($A45&amp;C$2&amp;$B46,Dados10Fold!$E$1:$F$360,2,FALSE))</f>
        <v>0.5724</v>
      </c>
      <c r="D46" s="11">
        <f>IFERROR(VLOOKUP($A45&amp;D$2&amp;$B46,Dados7030!$E$1:$F$360,2,FALSE), VLOOKUP($A45&amp;D$2&amp;$B46,Dados10Fold!$E$1:$F$360,2,FALSE))</f>
        <v>0.5515</v>
      </c>
      <c r="E46" s="11">
        <f>IFERROR(VLOOKUP($A45&amp;E$2&amp;$B46,Dados7030!$E$1:$F$360,2,FALSE), VLOOKUP($A45&amp;E$2&amp;$B46,Dados10Fold!$E$1:$F$360,2,FALSE))</f>
        <v>0.5897</v>
      </c>
      <c r="F46" s="11">
        <f>IFERROR(VLOOKUP($A45&amp;F$2&amp;$B46,Dados7030!$E$1:$F$360,2,FALSE), VLOOKUP($A45&amp;F$2&amp;$B46,Dados10Fold!$E$1:$F$360,2,FALSE))</f>
        <v>0.5838</v>
      </c>
      <c r="G46" s="11">
        <f>IFERROR(VLOOKUP($A45&amp;G$2&amp;$B46,Dados7030!$E$1:$F$360,2,FALSE), VLOOKUP($A45&amp;G$2&amp;$B46,Dados10Fold!$E$1:$F$360,2,FALSE))</f>
        <v>0.6101</v>
      </c>
      <c r="H46" s="11">
        <f>IFERROR(VLOOKUP($A45&amp;H$2&amp;$B46,Dados7030!$E$1:$F$360,2,FALSE), VLOOKUP($A45&amp;H$2&amp;$B46,Dados10Fold!$E$1:$F$360,2,FALSE))</f>
        <v>0.6089</v>
      </c>
      <c r="I46" s="11">
        <f>IFERROR(VLOOKUP($A45&amp;I$2&amp;$B46,Dados7030!$E$1:$F$360,2,FALSE), VLOOKUP($A45&amp;I$2&amp;$B46,Dados10Fold!$E$1:$F$360,2,FALSE))</f>
        <v>0.6216</v>
      </c>
      <c r="J46" s="11">
        <f>IFERROR(VLOOKUP($A45&amp;J$2&amp;$B46,Dados7030!$E$1:$F$360,2,FALSE), VLOOKUP($A45&amp;J$2&amp;$B46,Dados10Fold!$E$1:$F$360,2,FALSE))</f>
        <v>0.6234</v>
      </c>
      <c r="K46" s="11">
        <f>IFERROR(VLOOKUP($A45&amp;K$2&amp;$B46,Dados7030!$E$1:$F$360,2,FALSE), VLOOKUP($A45&amp;K$2&amp;$B46,Dados10Fold!$E$1:$F$360,2,FALSE))</f>
        <v>0.6237</v>
      </c>
      <c r="L46" s="11">
        <f>IFERROR(VLOOKUP($A45&amp;L$2&amp;$B46,Dados7030!$E$1:$F$360,2,FALSE), VLOOKUP($A45&amp;L$2&amp;$B46,Dados10Fold!$E$1:$F$360,2,FALSE))</f>
        <v>0.6229</v>
      </c>
      <c r="M46" s="8"/>
    </row>
    <row r="47">
      <c r="A47" s="3" t="s">
        <v>46</v>
      </c>
      <c r="B47" s="4" t="s">
        <v>15</v>
      </c>
      <c r="C47" s="5">
        <f>IFERROR(VLOOKUP($A47&amp;C$2&amp;$B47,Dados7030!$E$1:$F$360,2,FALSE), VLOOKUP($A47&amp;C$2&amp;$B47,Dados10Fold!$E$1:$F$360,2,FALSE))</f>
        <v>0.5663</v>
      </c>
      <c r="D47" s="5">
        <f>IFERROR(VLOOKUP($A47&amp;D$2&amp;$B47,Dados7030!$E$1:$F$360,2,FALSE), VLOOKUP($A47&amp;D$2&amp;$B47,Dados10Fold!$E$1:$F$360,2,FALSE))</f>
        <v>0.5423</v>
      </c>
      <c r="E47" s="5">
        <f>IFERROR(VLOOKUP($A47&amp;E$2&amp;$B47,Dados7030!$E$1:$F$360,2,FALSE), VLOOKUP($A47&amp;E$2&amp;$B47,Dados10Fold!$E$1:$F$360,2,FALSE))</f>
        <v>0.5747</v>
      </c>
      <c r="F47" s="5">
        <f>IFERROR(VLOOKUP($A47&amp;F$2&amp;$B47,Dados7030!$E$1:$F$360,2,FALSE), VLOOKUP($A47&amp;F$2&amp;$B47,Dados10Fold!$E$1:$F$360,2,FALSE))</f>
        <v>0.5676</v>
      </c>
      <c r="G47" s="5">
        <f>IFERROR(VLOOKUP($A47&amp;G$2&amp;$B47,Dados7030!$E$1:$F$360,2,FALSE), VLOOKUP($A47&amp;G$2&amp;$B47,Dados10Fold!$E$1:$F$360,2,FALSE))</f>
        <v>0.5914</v>
      </c>
      <c r="H47" s="5">
        <f>IFERROR(VLOOKUP($A47&amp;H$2&amp;$B47,Dados7030!$E$1:$F$360,2,FALSE), VLOOKUP($A47&amp;H$2&amp;$B47,Dados10Fold!$E$1:$F$360,2,FALSE))</f>
        <v>0.5688</v>
      </c>
      <c r="I47" s="5">
        <f>IFERROR(VLOOKUP($A47&amp;I$2&amp;$B47,Dados7030!$E$1:$F$360,2,FALSE), VLOOKUP($A47&amp;I$2&amp;$B47,Dados10Fold!$E$1:$F$360,2,FALSE))</f>
        <v>0.6018</v>
      </c>
      <c r="J47" s="5">
        <f>IFERROR(VLOOKUP($A47&amp;J$2&amp;$B47,Dados7030!$E$1:$F$360,2,FALSE), VLOOKUP($A47&amp;J$2&amp;$B47,Dados10Fold!$E$1:$F$360,2,FALSE))</f>
        <v>0.584</v>
      </c>
      <c r="K47" s="5">
        <f>IFERROR(VLOOKUP($A47&amp;K$2&amp;$B47,Dados7030!$E$1:$F$360,2,FALSE), VLOOKUP($A47&amp;K$2&amp;$B47,Dados10Fold!$E$1:$F$360,2,FALSE))</f>
        <v>0.597</v>
      </c>
      <c r="L47" s="5">
        <f>IFERROR(VLOOKUP($A47&amp;L$2&amp;$B47,Dados7030!$E$1:$F$360,2,FALSE), VLOOKUP($A47&amp;L$2&amp;$B47,Dados10Fold!$E$1:$F$360,2,FALSE))</f>
        <v>0.5944</v>
      </c>
      <c r="M47" s="6">
        <f>MEDIAN(C47:L48)</f>
        <v>0.5877</v>
      </c>
    </row>
    <row r="48">
      <c r="B48" s="4" t="s">
        <v>17</v>
      </c>
      <c r="C48" s="5">
        <f>IFERROR(VLOOKUP($A47&amp;C$2&amp;$B48,Dados7030!$E$1:$F$360,2,FALSE), VLOOKUP($A47&amp;C$2&amp;$B48,Dados10Fold!$E$1:$F$360,2,FALSE))</f>
        <v>0.5711</v>
      </c>
      <c r="D48" s="5">
        <f>IFERROR(VLOOKUP($A47&amp;D$2&amp;$B48,Dados7030!$E$1:$F$360,2,FALSE), VLOOKUP($A47&amp;D$2&amp;$B48,Dados10Fold!$E$1:$F$360,2,FALSE))</f>
        <v>0.5383</v>
      </c>
      <c r="E48" s="5">
        <f>IFERROR(VLOOKUP($A47&amp;E$2&amp;$B48,Dados7030!$E$1:$F$360,2,FALSE), VLOOKUP($A47&amp;E$2&amp;$B48,Dados10Fold!$E$1:$F$360,2,FALSE))</f>
        <v>0.5772</v>
      </c>
      <c r="F48" s="5">
        <f>IFERROR(VLOOKUP($A47&amp;F$2&amp;$B48,Dados7030!$E$1:$F$360,2,FALSE), VLOOKUP($A47&amp;F$2&amp;$B48,Dados10Fold!$E$1:$F$360,2,FALSE))</f>
        <v>0.5739</v>
      </c>
      <c r="G48" s="5">
        <f>IFERROR(VLOOKUP($A47&amp;G$2&amp;$B48,Dados7030!$E$1:$F$360,2,FALSE), VLOOKUP($A47&amp;G$2&amp;$B48,Dados10Fold!$E$1:$F$360,2,FALSE))</f>
        <v>0.5964</v>
      </c>
      <c r="H48" s="5">
        <f>IFERROR(VLOOKUP($A47&amp;H$2&amp;$B48,Dados7030!$E$1:$F$360,2,FALSE), VLOOKUP($A47&amp;H$2&amp;$B48,Dados10Fold!$E$1:$F$360,2,FALSE))</f>
        <v>0.5992</v>
      </c>
      <c r="I48" s="5">
        <f>IFERROR(VLOOKUP($A47&amp;I$2&amp;$B48,Dados7030!$E$1:$F$360,2,FALSE), VLOOKUP($A47&amp;I$2&amp;$B48,Dados10Fold!$E$1:$F$360,2,FALSE))</f>
        <v>0.6089</v>
      </c>
      <c r="J48" s="5">
        <f>IFERROR(VLOOKUP($A47&amp;J$2&amp;$B48,Dados7030!$E$1:$F$360,2,FALSE), VLOOKUP($A47&amp;J$2&amp;$B48,Dados10Fold!$E$1:$F$360,2,FALSE))</f>
        <v>0.6074</v>
      </c>
      <c r="K48" s="5">
        <f>IFERROR(VLOOKUP($A47&amp;K$2&amp;$B48,Dados7030!$E$1:$F$360,2,FALSE), VLOOKUP($A47&amp;K$2&amp;$B48,Dados10Fold!$E$1:$F$360,2,FALSE))</f>
        <v>0.6122</v>
      </c>
      <c r="L48" s="5">
        <f>IFERROR(VLOOKUP($A47&amp;L$2&amp;$B48,Dados7030!$E$1:$F$360,2,FALSE), VLOOKUP($A47&amp;L$2&amp;$B48,Dados10Fold!$E$1:$F$360,2,FALSE))</f>
        <v>0.6079</v>
      </c>
      <c r="M48" s="8"/>
    </row>
    <row r="49">
      <c r="A49" s="9" t="s">
        <v>29</v>
      </c>
      <c r="B49" s="10" t="s">
        <v>15</v>
      </c>
      <c r="C49" s="11">
        <f>IFERROR(VLOOKUP($A49&amp;C$2&amp;$B49,Dados7030!$E$1:$F$360,2,FALSE), VLOOKUP($A49&amp;C$2&amp;$B49,Dados10Fold!$E$1:$F$360,2,FALSE))</f>
        <v>0.5984</v>
      </c>
      <c r="D49" s="11">
        <f>IFERROR(VLOOKUP($A49&amp;D$2&amp;$B49,Dados7030!$E$1:$F$360,2,FALSE), VLOOKUP($A49&amp;D$2&amp;$B49,Dados10Fold!$E$1:$F$360,2,FALSE))</f>
        <v>0.5534</v>
      </c>
      <c r="E49" s="11">
        <f>IFERROR(VLOOKUP($A49&amp;E$2&amp;$B49,Dados7030!$E$1:$F$360,2,FALSE), VLOOKUP($A49&amp;E$2&amp;$B49,Dados10Fold!$E$1:$F$360,2,FALSE))</f>
        <v>0.6116</v>
      </c>
      <c r="F49" s="11">
        <f>IFERROR(VLOOKUP($A49&amp;F$2&amp;$B49,Dados7030!$E$1:$F$360,2,FALSE), VLOOKUP($A49&amp;F$2&amp;$B49,Dados10Fold!$E$1:$F$360,2,FALSE))</f>
        <v>0.6009</v>
      </c>
      <c r="G49" s="11">
        <f>IFERROR(VLOOKUP($A49&amp;G$2&amp;$B49,Dados7030!$E$1:$F$360,2,FALSE), VLOOKUP($A49&amp;G$2&amp;$B49,Dados10Fold!$E$1:$F$360,2,FALSE))</f>
        <v>0.6053</v>
      </c>
      <c r="H49" s="11">
        <f>IFERROR(VLOOKUP($A49&amp;H$2&amp;$B49,Dados7030!$E$1:$F$360,2,FALSE), VLOOKUP($A49&amp;H$2&amp;$B49,Dados10Fold!$E$1:$F$360,2,FALSE))</f>
        <v>0.6048</v>
      </c>
      <c r="I49" s="11">
        <f>IFERROR(VLOOKUP($A49&amp;I$2&amp;$B49,Dados7030!$E$1:$F$360,2,FALSE), VLOOKUP($A49&amp;I$2&amp;$B49,Dados10Fold!$E$1:$F$360,2,FALSE))</f>
        <v>0.6102</v>
      </c>
      <c r="J49" s="11">
        <f>IFERROR(VLOOKUP($A49&amp;J$2&amp;$B49,Dados7030!$E$1:$F$360,2,FALSE), VLOOKUP($A49&amp;J$2&amp;$B49,Dados10Fold!$E$1:$F$360,2,FALSE))</f>
        <v>0.6102</v>
      </c>
      <c r="K49" s="11">
        <f>IFERROR(VLOOKUP($A49&amp;K$2&amp;$B49,Dados7030!$E$1:$F$360,2,FALSE), VLOOKUP($A49&amp;K$2&amp;$B49,Dados10Fold!$E$1:$F$360,2,FALSE))</f>
        <v>0.6171</v>
      </c>
      <c r="L49" s="11">
        <f>IFERROR(VLOOKUP($A49&amp;L$2&amp;$B49,Dados7030!$E$1:$F$360,2,FALSE), VLOOKUP($A49&amp;L$2&amp;$B49,Dados10Fold!$E$1:$F$360,2,FALSE))</f>
        <v>0.611</v>
      </c>
      <c r="M49" s="6">
        <f>MEDIAN(C49:L50)</f>
        <v>0.6102</v>
      </c>
    </row>
    <row r="50">
      <c r="B50" s="10" t="s">
        <v>17</v>
      </c>
      <c r="C50" s="11">
        <f>IFERROR(VLOOKUP($A49&amp;C$2&amp;$B50,Dados7030!$E$1:$F$360,2,FALSE), VLOOKUP($A49&amp;C$2&amp;$B50,Dados10Fold!$E$1:$F$360,2,FALSE))</f>
        <v>0.5859</v>
      </c>
      <c r="D50" s="11">
        <f>IFERROR(VLOOKUP($A49&amp;D$2&amp;$B50,Dados7030!$E$1:$F$360,2,FALSE), VLOOKUP($A49&amp;D$2&amp;$B50,Dados10Fold!$E$1:$F$360,2,FALSE))</f>
        <v>0.5509</v>
      </c>
      <c r="E50" s="11">
        <f>IFERROR(VLOOKUP($A49&amp;E$2&amp;$B50,Dados7030!$E$1:$F$360,2,FALSE), VLOOKUP($A49&amp;E$2&amp;$B50,Dados10Fold!$E$1:$F$360,2,FALSE))</f>
        <v>0.6026</v>
      </c>
      <c r="F50" s="11">
        <f>IFERROR(VLOOKUP($A49&amp;F$2&amp;$B50,Dados7030!$E$1:$F$360,2,FALSE), VLOOKUP($A49&amp;F$2&amp;$B50,Dados10Fold!$E$1:$F$360,2,FALSE))</f>
        <v>0.5927</v>
      </c>
      <c r="G50" s="11">
        <f>IFERROR(VLOOKUP($A49&amp;G$2&amp;$B50,Dados7030!$E$1:$F$360,2,FALSE), VLOOKUP($A49&amp;G$2&amp;$B50,Dados10Fold!$E$1:$F$360,2,FALSE))</f>
        <v>0.6193</v>
      </c>
      <c r="H50" s="11">
        <f>IFERROR(VLOOKUP($A49&amp;H$2&amp;$B50,Dados7030!$E$1:$F$360,2,FALSE), VLOOKUP($A49&amp;H$2&amp;$B50,Dados10Fold!$E$1:$F$360,2,FALSE))</f>
        <v>0.6108</v>
      </c>
      <c r="I50" s="11">
        <f>IFERROR(VLOOKUP($A49&amp;I$2&amp;$B50,Dados7030!$E$1:$F$360,2,FALSE), VLOOKUP($A49&amp;I$2&amp;$B50,Dados10Fold!$E$1:$F$360,2,FALSE))</f>
        <v>0.6285</v>
      </c>
      <c r="J50" s="11">
        <f>IFERROR(VLOOKUP($A49&amp;J$2&amp;$B50,Dados7030!$E$1:$F$360,2,FALSE), VLOOKUP($A49&amp;J$2&amp;$B50,Dados10Fold!$E$1:$F$360,2,FALSE))</f>
        <v>0.6187</v>
      </c>
      <c r="K50" s="11">
        <f>IFERROR(VLOOKUP($A49&amp;K$2&amp;$B50,Dados7030!$E$1:$F$360,2,FALSE), VLOOKUP($A49&amp;K$2&amp;$B50,Dados10Fold!$E$1:$F$360,2,FALSE))</f>
        <v>0.6245</v>
      </c>
      <c r="L50" s="11">
        <f>IFERROR(VLOOKUP($A49&amp;L$2&amp;$B50,Dados7030!$E$1:$F$360,2,FALSE), VLOOKUP($A49&amp;L$2&amp;$B50,Dados10Fold!$E$1:$F$360,2,FALSE))</f>
        <v>0.6242</v>
      </c>
      <c r="M50" s="8"/>
    </row>
    <row r="51">
      <c r="A51" s="9" t="s">
        <v>31</v>
      </c>
      <c r="B51" s="10" t="s">
        <v>15</v>
      </c>
      <c r="C51" s="11">
        <f>IFERROR(VLOOKUP($A51&amp;C$2&amp;$B51,Dados7030!$E$1:$F$360,2,FALSE), VLOOKUP($A51&amp;C$2&amp;$B51,Dados10Fold!$E$1:$F$360,2,FALSE))</f>
        <v>0.5692</v>
      </c>
      <c r="D51" s="11">
        <f>IFERROR(VLOOKUP($A51&amp;D$2&amp;$B51,Dados7030!$E$1:$F$360,2,FALSE), VLOOKUP($A51&amp;D$2&amp;$B51,Dados10Fold!$E$1:$F$360,2,FALSE))</f>
        <v>0.5568</v>
      </c>
      <c r="E51" s="11">
        <f>IFERROR(VLOOKUP($A51&amp;E$2&amp;$B51,Dados7030!$E$1:$F$360,2,FALSE), VLOOKUP($A51&amp;E$2&amp;$B51,Dados10Fold!$E$1:$F$360,2,FALSE))</f>
        <v>0.6058</v>
      </c>
      <c r="F51" s="11">
        <f>IFERROR(VLOOKUP($A51&amp;F$2&amp;$B51,Dados7030!$E$1:$F$360,2,FALSE), VLOOKUP($A51&amp;F$2&amp;$B51,Dados10Fold!$E$1:$F$360,2,FALSE))</f>
        <v>0.5917</v>
      </c>
      <c r="G51" s="11">
        <f>IFERROR(VLOOKUP($A51&amp;G$2&amp;$B51,Dados7030!$E$1:$F$360,2,FALSE), VLOOKUP($A51&amp;G$2&amp;$B51,Dados10Fold!$E$1:$F$360,2,FALSE))</f>
        <v>0.6051</v>
      </c>
      <c r="H51" s="11">
        <f>IFERROR(VLOOKUP($A51&amp;H$2&amp;$B51,Dados7030!$E$1:$F$360,2,FALSE), VLOOKUP($A51&amp;H$2&amp;$B51,Dados10Fold!$E$1:$F$360,2,FALSE))</f>
        <v>0.6051</v>
      </c>
      <c r="I51" s="11">
        <f>IFERROR(VLOOKUP($A51&amp;I$2&amp;$B51,Dados7030!$E$1:$F$360,2,FALSE), VLOOKUP($A51&amp;I$2&amp;$B51,Dados10Fold!$E$1:$F$360,2,FALSE))</f>
        <v>0.6098</v>
      </c>
      <c r="J51" s="11">
        <f>IFERROR(VLOOKUP($A51&amp;J$2&amp;$B51,Dados7030!$E$1:$F$360,2,FALSE), VLOOKUP($A51&amp;J$2&amp;$B51,Dados10Fold!$E$1:$F$360,2,FALSE))</f>
        <v>0.6188</v>
      </c>
      <c r="K51" s="11">
        <f>IFERROR(VLOOKUP($A51&amp;K$2&amp;$B51,Dados7030!$E$1:$F$360,2,FALSE), VLOOKUP($A51&amp;K$2&amp;$B51,Dados10Fold!$E$1:$F$360,2,FALSE))</f>
        <v>0.6142</v>
      </c>
      <c r="L51" s="11">
        <f>IFERROR(VLOOKUP($A51&amp;L$2&amp;$B51,Dados7030!$E$1:$F$360,2,FALSE), VLOOKUP($A51&amp;L$2&amp;$B51,Dados10Fold!$E$1:$F$360,2,FALSE))</f>
        <v>0.6218</v>
      </c>
      <c r="M51" s="6">
        <f>MEDIAN(C51:L52)</f>
        <v>0.6078</v>
      </c>
    </row>
    <row r="52">
      <c r="B52" s="10" t="s">
        <v>17</v>
      </c>
      <c r="C52" s="11">
        <f>IFERROR(VLOOKUP($A51&amp;C$2&amp;$B52,Dados7030!$E$1:$F$360,2,FALSE), VLOOKUP($A51&amp;C$2&amp;$B52,Dados10Fold!$E$1:$F$360,2,FALSE))</f>
        <v>0.5796</v>
      </c>
      <c r="D52" s="11">
        <f>IFERROR(VLOOKUP($A51&amp;D$2&amp;$B52,Dados7030!$E$1:$F$360,2,FALSE), VLOOKUP($A51&amp;D$2&amp;$B52,Dados10Fold!$E$1:$F$360,2,FALSE))</f>
        <v>0.565</v>
      </c>
      <c r="E52" s="11">
        <f>IFERROR(VLOOKUP($A51&amp;E$2&amp;$B52,Dados7030!$E$1:$F$360,2,FALSE), VLOOKUP($A51&amp;E$2&amp;$B52,Dados10Fold!$E$1:$F$360,2,FALSE))</f>
        <v>0.6024</v>
      </c>
      <c r="F52" s="11">
        <f>IFERROR(VLOOKUP($A51&amp;F$2&amp;$B52,Dados7030!$E$1:$F$360,2,FALSE), VLOOKUP($A51&amp;F$2&amp;$B52,Dados10Fold!$E$1:$F$360,2,FALSE))</f>
        <v>0.5972</v>
      </c>
      <c r="G52" s="11">
        <f>IFERROR(VLOOKUP($A51&amp;G$2&amp;$B52,Dados7030!$E$1:$F$360,2,FALSE), VLOOKUP($A51&amp;G$2&amp;$B52,Dados10Fold!$E$1:$F$360,2,FALSE))</f>
        <v>0.6172</v>
      </c>
      <c r="H52" s="11">
        <f>IFERROR(VLOOKUP($A51&amp;H$2&amp;$B52,Dados7030!$E$1:$F$360,2,FALSE), VLOOKUP($A51&amp;H$2&amp;$B52,Dados10Fold!$E$1:$F$360,2,FALSE))</f>
        <v>0.6125</v>
      </c>
      <c r="I52" s="11">
        <f>IFERROR(VLOOKUP($A51&amp;I$2&amp;$B52,Dados7030!$E$1:$F$360,2,FALSE), VLOOKUP($A51&amp;I$2&amp;$B52,Dados10Fold!$E$1:$F$360,2,FALSE))</f>
        <v>0.619</v>
      </c>
      <c r="J52" s="11">
        <f>IFERROR(VLOOKUP($A51&amp;J$2&amp;$B52,Dados7030!$E$1:$F$360,2,FALSE), VLOOKUP($A51&amp;J$2&amp;$B52,Dados10Fold!$E$1:$F$360,2,FALSE))</f>
        <v>0.6186</v>
      </c>
      <c r="K52" s="11">
        <f>IFERROR(VLOOKUP($A51&amp;K$2&amp;$B52,Dados7030!$E$1:$F$360,2,FALSE), VLOOKUP($A51&amp;K$2&amp;$B52,Dados10Fold!$E$1:$F$360,2,FALSE))</f>
        <v>0.6262</v>
      </c>
      <c r="L52" s="11">
        <f>IFERROR(VLOOKUP($A51&amp;L$2&amp;$B52,Dados7030!$E$1:$F$360,2,FALSE), VLOOKUP($A51&amp;L$2&amp;$B52,Dados10Fold!$E$1:$F$360,2,FALSE))</f>
        <v>0.6308</v>
      </c>
      <c r="M52" s="8"/>
    </row>
    <row r="53">
      <c r="A53" s="9" t="s">
        <v>33</v>
      </c>
      <c r="B53" s="10" t="s">
        <v>15</v>
      </c>
      <c r="C53" s="11">
        <f>IFERROR(VLOOKUP($A53&amp;C$2&amp;$B53,Dados7030!$E$1:$F$360,2,FALSE), VLOOKUP($A53&amp;C$2&amp;$B53,Dados10Fold!$E$1:$F$360,2,FALSE))</f>
        <v>0.5739</v>
      </c>
      <c r="D53" s="11">
        <f>IFERROR(VLOOKUP($A53&amp;D$2&amp;$B53,Dados7030!$E$1:$F$360,2,FALSE), VLOOKUP($A53&amp;D$2&amp;$B53,Dados10Fold!$E$1:$F$360,2,FALSE))</f>
        <v>0.537</v>
      </c>
      <c r="E53" s="11">
        <f>IFERROR(VLOOKUP($A53&amp;E$2&amp;$B53,Dados7030!$E$1:$F$360,2,FALSE), VLOOKUP($A53&amp;E$2&amp;$B53,Dados10Fold!$E$1:$F$360,2,FALSE))</f>
        <v>0.5886</v>
      </c>
      <c r="F53" s="11">
        <f>IFERROR(VLOOKUP($A53&amp;F$2&amp;$B53,Dados7030!$E$1:$F$360,2,FALSE), VLOOKUP($A53&amp;F$2&amp;$B53,Dados10Fold!$E$1:$F$360,2,FALSE))</f>
        <v>0.5703</v>
      </c>
      <c r="G53" s="11">
        <f>IFERROR(VLOOKUP($A53&amp;G$2&amp;$B53,Dados7030!$E$1:$F$360,2,FALSE), VLOOKUP($A53&amp;G$2&amp;$B53,Dados10Fold!$E$1:$F$360,2,FALSE))</f>
        <v>0.5803</v>
      </c>
      <c r="H53" s="11">
        <f>IFERROR(VLOOKUP($A53&amp;H$2&amp;$B53,Dados7030!$E$1:$F$360,2,FALSE), VLOOKUP($A53&amp;H$2&amp;$B53,Dados10Fold!$E$1:$F$360,2,FALSE))</f>
        <v>0.5752</v>
      </c>
      <c r="I53" s="11">
        <f>IFERROR(VLOOKUP($A53&amp;I$2&amp;$B53,Dados7030!$E$1:$F$360,2,FALSE), VLOOKUP($A53&amp;I$2&amp;$B53,Dados10Fold!$E$1:$F$360,2,FALSE))</f>
        <v>0.5866</v>
      </c>
      <c r="J53" s="11">
        <f>IFERROR(VLOOKUP($A53&amp;J$2&amp;$B53,Dados7030!$E$1:$F$360,2,FALSE), VLOOKUP($A53&amp;J$2&amp;$B53,Dados10Fold!$E$1:$F$360,2,FALSE))</f>
        <v>0.5897</v>
      </c>
      <c r="K53" s="11">
        <f>IFERROR(VLOOKUP($A53&amp;K$2&amp;$B53,Dados7030!$E$1:$F$360,2,FALSE), VLOOKUP($A53&amp;K$2&amp;$B53,Dados10Fold!$E$1:$F$360,2,FALSE))</f>
        <v>0.594</v>
      </c>
      <c r="L53" s="11">
        <f>IFERROR(VLOOKUP($A53&amp;L$2&amp;$B53,Dados7030!$E$1:$F$360,2,FALSE), VLOOKUP($A53&amp;L$2&amp;$B53,Dados10Fold!$E$1:$F$360,2,FALSE))</f>
        <v>0.5942</v>
      </c>
      <c r="M53" s="6">
        <f>MEDIAN(C53:L54)</f>
        <v>0.5899</v>
      </c>
    </row>
    <row r="54">
      <c r="B54" s="10" t="s">
        <v>17</v>
      </c>
      <c r="C54" s="11">
        <f>IFERROR(VLOOKUP($A53&amp;C$2&amp;$B54,Dados7030!$E$1:$F$360,2,FALSE), VLOOKUP($A53&amp;C$2&amp;$B54,Dados10Fold!$E$1:$F$360,2,FALSE))</f>
        <v>0.5807</v>
      </c>
      <c r="D54" s="11">
        <f>IFERROR(VLOOKUP($A53&amp;D$2&amp;$B54,Dados7030!$E$1:$F$360,2,FALSE), VLOOKUP($A53&amp;D$2&amp;$B54,Dados10Fold!$E$1:$F$360,2,FALSE))</f>
        <v>0.5576</v>
      </c>
      <c r="E54" s="11">
        <f>IFERROR(VLOOKUP($A53&amp;E$2&amp;$B54,Dados7030!$E$1:$F$360,2,FALSE), VLOOKUP($A53&amp;E$2&amp;$B54,Dados10Fold!$E$1:$F$360,2,FALSE))</f>
        <v>0.5984</v>
      </c>
      <c r="F54" s="11">
        <f>IFERROR(VLOOKUP($A53&amp;F$2&amp;$B54,Dados7030!$E$1:$F$360,2,FALSE), VLOOKUP($A53&amp;F$2&amp;$B54,Dados10Fold!$E$1:$F$360,2,FALSE))</f>
        <v>0.5901</v>
      </c>
      <c r="G54" s="11">
        <f>IFERROR(VLOOKUP($A53&amp;G$2&amp;$B54,Dados7030!$E$1:$F$360,2,FALSE), VLOOKUP($A53&amp;G$2&amp;$B54,Dados10Fold!$E$1:$F$360,2,FALSE))</f>
        <v>0.6014</v>
      </c>
      <c r="H54" s="11">
        <f>IFERROR(VLOOKUP($A53&amp;H$2&amp;$B54,Dados7030!$E$1:$F$360,2,FALSE), VLOOKUP($A53&amp;H$2&amp;$B54,Dados10Fold!$E$1:$F$360,2,FALSE))</f>
        <v>0.6002</v>
      </c>
      <c r="I54" s="11">
        <f>IFERROR(VLOOKUP($A53&amp;I$2&amp;$B54,Dados7030!$E$1:$F$360,2,FALSE), VLOOKUP($A53&amp;I$2&amp;$B54,Dados10Fold!$E$1:$F$360,2,FALSE))</f>
        <v>0.6158</v>
      </c>
      <c r="J54" s="11">
        <f>IFERROR(VLOOKUP($A53&amp;J$2&amp;$B54,Dados7030!$E$1:$F$360,2,FALSE), VLOOKUP($A53&amp;J$2&amp;$B54,Dados10Fold!$E$1:$F$360,2,FALSE))</f>
        <v>0.6134</v>
      </c>
      <c r="K54" s="11">
        <f>IFERROR(VLOOKUP($A53&amp;K$2&amp;$B54,Dados7030!$E$1:$F$360,2,FALSE), VLOOKUP($A53&amp;K$2&amp;$B54,Dados10Fold!$E$1:$F$360,2,FALSE))</f>
        <v>0.6189</v>
      </c>
      <c r="L54" s="11">
        <f>IFERROR(VLOOKUP($A53&amp;L$2&amp;$B54,Dados7030!$E$1:$F$360,2,FALSE), VLOOKUP($A53&amp;L$2&amp;$B54,Dados10Fold!$E$1:$F$360,2,FALSE))</f>
        <v>0.6211</v>
      </c>
      <c r="M54" s="8"/>
    </row>
    <row r="55">
      <c r="A55" s="9" t="s">
        <v>35</v>
      </c>
      <c r="B55" s="10" t="s">
        <v>15</v>
      </c>
      <c r="C55" s="11">
        <f>IFERROR(VLOOKUP($A55&amp;C$2&amp;$B55,Dados7030!$E$1:$F$360,2,FALSE), VLOOKUP($A55&amp;C$2&amp;$B55,Dados10Fold!$E$1:$F$360,2,FALSE))</f>
        <v>0.5921</v>
      </c>
      <c r="D55" s="11">
        <f>IFERROR(VLOOKUP($A55&amp;D$2&amp;$B55,Dados7030!$E$1:$F$360,2,FALSE), VLOOKUP($A55&amp;D$2&amp;$B55,Dados10Fold!$E$1:$F$360,2,FALSE))</f>
        <v>0.5639</v>
      </c>
      <c r="E55" s="11">
        <f>IFERROR(VLOOKUP($A55&amp;E$2&amp;$B55,Dados7030!$E$1:$F$360,2,FALSE), VLOOKUP($A55&amp;E$2&amp;$B55,Dados10Fold!$E$1:$F$360,2,FALSE))</f>
        <v>0.6158</v>
      </c>
      <c r="F55" s="11">
        <f>IFERROR(VLOOKUP($A55&amp;F$2&amp;$B55,Dados7030!$E$1:$F$360,2,FALSE), VLOOKUP($A55&amp;F$2&amp;$B55,Dados10Fold!$E$1:$F$360,2,FALSE))</f>
        <v>0.6075</v>
      </c>
      <c r="G55" s="11">
        <f>IFERROR(VLOOKUP($A55&amp;G$2&amp;$B55,Dados7030!$E$1:$F$360,2,FALSE), VLOOKUP($A55&amp;G$2&amp;$B55,Dados10Fold!$E$1:$F$360,2,FALSE))</f>
        <v>0.6102</v>
      </c>
      <c r="H55" s="11">
        <f>IFERROR(VLOOKUP($A55&amp;H$2&amp;$B55,Dados7030!$E$1:$F$360,2,FALSE), VLOOKUP($A55&amp;H$2&amp;$B55,Dados10Fold!$E$1:$F$360,2,FALSE))</f>
        <v>0.5895</v>
      </c>
      <c r="I55" s="11">
        <f>IFERROR(VLOOKUP($A55&amp;I$2&amp;$B55,Dados7030!$E$1:$F$360,2,FALSE), VLOOKUP($A55&amp;I$2&amp;$B55,Dados10Fold!$E$1:$F$360,2,FALSE))</f>
        <v>0.6024</v>
      </c>
      <c r="J55" s="11">
        <f>IFERROR(VLOOKUP($A55&amp;J$2&amp;$B55,Dados7030!$E$1:$F$360,2,FALSE), VLOOKUP($A55&amp;J$2&amp;$B55,Dados10Fold!$E$1:$F$360,2,FALSE))</f>
        <v>0.5973</v>
      </c>
      <c r="K55" s="11">
        <f>IFERROR(VLOOKUP($A55&amp;K$2&amp;$B55,Dados7030!$E$1:$F$360,2,FALSE), VLOOKUP($A55&amp;K$2&amp;$B55,Dados10Fold!$E$1:$F$360,2,FALSE))</f>
        <v>0.6059</v>
      </c>
      <c r="L55" s="11">
        <f>IFERROR(VLOOKUP($A55&amp;L$2&amp;$B55,Dados7030!$E$1:$F$360,2,FALSE), VLOOKUP($A55&amp;L$2&amp;$B55,Dados10Fold!$E$1:$F$360,2,FALSE))</f>
        <v>0.6069</v>
      </c>
      <c r="M55" s="6">
        <f>MEDIAN(C55:L56)</f>
        <v>0.6064</v>
      </c>
    </row>
    <row r="56">
      <c r="B56" s="10" t="s">
        <v>17</v>
      </c>
      <c r="C56" s="11">
        <f>IFERROR(VLOOKUP($A55&amp;C$2&amp;$B56,Dados7030!$E$1:$F$360,2,FALSE), VLOOKUP($A55&amp;C$2&amp;$B56,Dados10Fold!$E$1:$F$360,2,FALSE))</f>
        <v>0.5829</v>
      </c>
      <c r="D56" s="11">
        <f>IFERROR(VLOOKUP($A55&amp;D$2&amp;$B56,Dados7030!$E$1:$F$360,2,FALSE), VLOOKUP($A55&amp;D$2&amp;$B56,Dados10Fold!$E$1:$F$360,2,FALSE))</f>
        <v>0.5578</v>
      </c>
      <c r="E56" s="11">
        <f>IFERROR(VLOOKUP($A55&amp;E$2&amp;$B56,Dados7030!$E$1:$F$360,2,FALSE), VLOOKUP($A55&amp;E$2&amp;$B56,Dados10Fold!$E$1:$F$360,2,FALSE))</f>
        <v>0.6047</v>
      </c>
      <c r="F56" s="11">
        <f>IFERROR(VLOOKUP($A55&amp;F$2&amp;$B56,Dados7030!$E$1:$F$360,2,FALSE), VLOOKUP($A55&amp;F$2&amp;$B56,Dados10Fold!$E$1:$F$360,2,FALSE))</f>
        <v>0.605</v>
      </c>
      <c r="G56" s="11">
        <f>IFERROR(VLOOKUP($A55&amp;G$2&amp;$B56,Dados7030!$E$1:$F$360,2,FALSE), VLOOKUP($A55&amp;G$2&amp;$B56,Dados10Fold!$E$1:$F$360,2,FALSE))</f>
        <v>0.6164</v>
      </c>
      <c r="H56" s="11">
        <f>IFERROR(VLOOKUP($A55&amp;H$2&amp;$B56,Dados7030!$E$1:$F$360,2,FALSE), VLOOKUP($A55&amp;H$2&amp;$B56,Dados10Fold!$E$1:$F$360,2,FALSE))</f>
        <v>0.617</v>
      </c>
      <c r="I56" s="11">
        <f>IFERROR(VLOOKUP($A55&amp;I$2&amp;$B56,Dados7030!$E$1:$F$360,2,FALSE), VLOOKUP($A55&amp;I$2&amp;$B56,Dados10Fold!$E$1:$F$360,2,FALSE))</f>
        <v>0.6301</v>
      </c>
      <c r="J56" s="11">
        <f>IFERROR(VLOOKUP($A55&amp;J$2&amp;$B56,Dados7030!$E$1:$F$360,2,FALSE), VLOOKUP($A55&amp;J$2&amp;$B56,Dados10Fold!$E$1:$F$360,2,FALSE))</f>
        <v>0.6267</v>
      </c>
      <c r="K56" s="11">
        <f>IFERROR(VLOOKUP($A55&amp;K$2&amp;$B56,Dados7030!$E$1:$F$360,2,FALSE), VLOOKUP($A55&amp;K$2&amp;$B56,Dados10Fold!$E$1:$F$360,2,FALSE))</f>
        <v>0.6347</v>
      </c>
      <c r="L56" s="11">
        <f>IFERROR(VLOOKUP($A55&amp;L$2&amp;$B56,Dados7030!$E$1:$F$360,2,FALSE), VLOOKUP($A55&amp;L$2&amp;$B56,Dados10Fold!$E$1:$F$360,2,FALSE))</f>
        <v>0.6305</v>
      </c>
      <c r="M56" s="8"/>
    </row>
    <row r="57">
      <c r="A57" s="9" t="s">
        <v>37</v>
      </c>
      <c r="B57" s="10" t="s">
        <v>15</v>
      </c>
      <c r="C57" s="11">
        <f>IFERROR(VLOOKUP($A57&amp;C$2&amp;$B57,Dados7030!$E$1:$F$360,2,FALSE), VLOOKUP($A57&amp;C$2&amp;$B57,Dados10Fold!$E$1:$F$360,2,FALSE))</f>
        <v>0.5747</v>
      </c>
      <c r="D57" s="11">
        <f>IFERROR(VLOOKUP($A57&amp;D$2&amp;$B57,Dados7030!$E$1:$F$360,2,FALSE), VLOOKUP($A57&amp;D$2&amp;$B57,Dados10Fold!$E$1:$F$360,2,FALSE))</f>
        <v>0.5454</v>
      </c>
      <c r="E57" s="11">
        <f>IFERROR(VLOOKUP($A57&amp;E$2&amp;$B57,Dados7030!$E$1:$F$360,2,FALSE), VLOOKUP($A57&amp;E$2&amp;$B57,Dados10Fold!$E$1:$F$360,2,FALSE))</f>
        <v>0.5837</v>
      </c>
      <c r="F57" s="11">
        <f>IFERROR(VLOOKUP($A57&amp;F$2&amp;$B57,Dados7030!$E$1:$F$360,2,FALSE), VLOOKUP($A57&amp;F$2&amp;$B57,Dados10Fold!$E$1:$F$360,2,FALSE))</f>
        <v>0.5701</v>
      </c>
      <c r="G57" s="11">
        <f>IFERROR(VLOOKUP($A57&amp;G$2&amp;$B57,Dados7030!$E$1:$F$360,2,FALSE), VLOOKUP($A57&amp;G$2&amp;$B57,Dados10Fold!$E$1:$F$360,2,FALSE))</f>
        <v>0.6114</v>
      </c>
      <c r="H57" s="11">
        <f>IFERROR(VLOOKUP($A57&amp;H$2&amp;$B57,Dados7030!$E$1:$F$360,2,FALSE), VLOOKUP($A57&amp;H$2&amp;$B57,Dados10Fold!$E$1:$F$360,2,FALSE))</f>
        <v>0.6073</v>
      </c>
      <c r="I57" s="11">
        <f>IFERROR(VLOOKUP($A57&amp;I$2&amp;$B57,Dados7030!$E$1:$F$360,2,FALSE), VLOOKUP($A57&amp;I$2&amp;$B57,Dados10Fold!$E$1:$F$360,2,FALSE))</f>
        <v>0.6251</v>
      </c>
      <c r="J57" s="11">
        <f>IFERROR(VLOOKUP($A57&amp;J$2&amp;$B57,Dados7030!$E$1:$F$360,2,FALSE), VLOOKUP($A57&amp;J$2&amp;$B57,Dados10Fold!$E$1:$F$360,2,FALSE))</f>
        <v>0.625</v>
      </c>
      <c r="K57" s="11">
        <f>IFERROR(VLOOKUP($A57&amp;K$2&amp;$B57,Dados7030!$E$1:$F$360,2,FALSE), VLOOKUP($A57&amp;K$2&amp;$B57,Dados10Fold!$E$1:$F$360,2,FALSE))</f>
        <v>0.6245</v>
      </c>
      <c r="L57" s="11">
        <f>IFERROR(VLOOKUP($A57&amp;L$2&amp;$B57,Dados7030!$E$1:$F$360,2,FALSE), VLOOKUP($A57&amp;L$2&amp;$B57,Dados10Fold!$E$1:$F$360,2,FALSE))</f>
        <v>0.617</v>
      </c>
      <c r="M57" s="6">
        <f>MEDIAN(C57:L58)</f>
        <v>0.6145</v>
      </c>
    </row>
    <row r="58">
      <c r="B58" s="10" t="s">
        <v>17</v>
      </c>
      <c r="C58" s="11">
        <f>IFERROR(VLOOKUP($A57&amp;C$2&amp;$B58,Dados7030!$E$1:$F$360,2,FALSE), VLOOKUP($A57&amp;C$2&amp;$B58,Dados10Fold!$E$1:$F$360,2,FALSE))</f>
        <v>0.5884</v>
      </c>
      <c r="D58" s="11">
        <f>IFERROR(VLOOKUP($A57&amp;D$2&amp;$B58,Dados7030!$E$1:$F$360,2,FALSE), VLOOKUP($A57&amp;D$2&amp;$B58,Dados10Fold!$E$1:$F$360,2,FALSE))</f>
        <v>0.5615</v>
      </c>
      <c r="E58" s="11">
        <f>IFERROR(VLOOKUP($A57&amp;E$2&amp;$B58,Dados7030!$E$1:$F$360,2,FALSE), VLOOKUP($A57&amp;E$2&amp;$B58,Dados10Fold!$E$1:$F$360,2,FALSE))</f>
        <v>0.612</v>
      </c>
      <c r="F58" s="11">
        <f>IFERROR(VLOOKUP($A57&amp;F$2&amp;$B58,Dados7030!$E$1:$F$360,2,FALSE), VLOOKUP($A57&amp;F$2&amp;$B58,Dados10Fold!$E$1:$F$360,2,FALSE))</f>
        <v>0.6013</v>
      </c>
      <c r="G58" s="11">
        <f>IFERROR(VLOOKUP($A57&amp;G$2&amp;$B58,Dados7030!$E$1:$F$360,2,FALSE), VLOOKUP($A57&amp;G$2&amp;$B58,Dados10Fold!$E$1:$F$360,2,FALSE))</f>
        <v>0.6204</v>
      </c>
      <c r="H58" s="11">
        <f>IFERROR(VLOOKUP($A57&amp;H$2&amp;$B58,Dados7030!$E$1:$F$360,2,FALSE), VLOOKUP($A57&amp;H$2&amp;$B58,Dados10Fold!$E$1:$F$360,2,FALSE))</f>
        <v>0.6222</v>
      </c>
      <c r="I58" s="11">
        <f>IFERROR(VLOOKUP($A57&amp;I$2&amp;$B58,Dados7030!$E$1:$F$360,2,FALSE), VLOOKUP($A57&amp;I$2&amp;$B58,Dados10Fold!$E$1:$F$360,2,FALSE))</f>
        <v>0.628</v>
      </c>
      <c r="J58" s="11">
        <f>IFERROR(VLOOKUP($A57&amp;J$2&amp;$B58,Dados7030!$E$1:$F$360,2,FALSE), VLOOKUP($A57&amp;J$2&amp;$B58,Dados10Fold!$E$1:$F$360,2,FALSE))</f>
        <v>0.6271</v>
      </c>
      <c r="K58" s="11">
        <f>IFERROR(VLOOKUP($A57&amp;K$2&amp;$B58,Dados7030!$E$1:$F$360,2,FALSE), VLOOKUP($A57&amp;K$2&amp;$B58,Dados10Fold!$E$1:$F$360,2,FALSE))</f>
        <v>0.6316</v>
      </c>
      <c r="L58" s="11">
        <f>IFERROR(VLOOKUP($A57&amp;L$2&amp;$B58,Dados7030!$E$1:$F$360,2,FALSE), VLOOKUP($A57&amp;L$2&amp;$B58,Dados10Fold!$E$1:$F$360,2,FALSE))</f>
        <v>0.6344</v>
      </c>
      <c r="M58" s="8"/>
    </row>
    <row r="59">
      <c r="A59" s="3" t="s">
        <v>47</v>
      </c>
      <c r="B59" s="4" t="s">
        <v>15</v>
      </c>
      <c r="C59" s="5">
        <f>IFERROR(VLOOKUP($A59&amp;C$2&amp;$B59,Dados7030!$E$1:$F$360,2,FALSE), VLOOKUP($A59&amp;C$2&amp;$B59,Dados10Fold!$E$1:$F$360,2,FALSE))</f>
        <v>0.5614</v>
      </c>
      <c r="D59" s="5">
        <f>IFERROR(VLOOKUP($A59&amp;D$2&amp;$B59,Dados7030!$E$1:$F$360,2,FALSE), VLOOKUP($A59&amp;D$2&amp;$B59,Dados10Fold!$E$1:$F$360,2,FALSE))</f>
        <v>0.5096</v>
      </c>
      <c r="E59" s="5">
        <f>IFERROR(VLOOKUP($A59&amp;E$2&amp;$B59,Dados7030!$E$1:$F$360,2,FALSE), VLOOKUP($A59&amp;E$2&amp;$B59,Dados10Fold!$E$1:$F$360,2,FALSE))</f>
        <v>0.5706</v>
      </c>
      <c r="F59" s="5">
        <f>IFERROR(VLOOKUP($A59&amp;F$2&amp;$B59,Dados7030!$E$1:$F$360,2,FALSE), VLOOKUP($A59&amp;F$2&amp;$B59,Dados10Fold!$E$1:$F$360,2,FALSE))</f>
        <v>0.5492</v>
      </c>
      <c r="G59" s="5">
        <f>IFERROR(VLOOKUP($A59&amp;G$2&amp;$B59,Dados7030!$E$1:$F$360,2,FALSE), VLOOKUP($A59&amp;G$2&amp;$B59,Dados10Fold!$E$1:$F$360,2,FALSE))</f>
        <v>0.5747</v>
      </c>
      <c r="H59" s="5">
        <f>IFERROR(VLOOKUP($A59&amp;H$2&amp;$B59,Dados7030!$E$1:$F$360,2,FALSE), VLOOKUP($A59&amp;H$2&amp;$B59,Dados10Fold!$E$1:$F$360,2,FALSE))</f>
        <v>0.5517</v>
      </c>
      <c r="I59" s="5">
        <f>IFERROR(VLOOKUP($A59&amp;I$2&amp;$B59,Dados7030!$E$1:$F$360,2,FALSE), VLOOKUP($A59&amp;I$2&amp;$B59,Dados10Fold!$E$1:$F$360,2,FALSE))</f>
        <v>0.5706</v>
      </c>
      <c r="J59" s="5">
        <f>IFERROR(VLOOKUP($A59&amp;J$2&amp;$B59,Dados7030!$E$1:$F$360,2,FALSE), VLOOKUP($A59&amp;J$2&amp;$B59,Dados10Fold!$E$1:$F$360,2,FALSE))</f>
        <v>0.573</v>
      </c>
      <c r="K59" s="5">
        <f>IFERROR(VLOOKUP($A59&amp;K$2&amp;$B59,Dados7030!$E$1:$F$360,2,FALSE), VLOOKUP($A59&amp;K$2&amp;$B59,Dados10Fold!$E$1:$F$360,2,FALSE))</f>
        <v>0.5747</v>
      </c>
      <c r="L59" s="5">
        <f>IFERROR(VLOOKUP($A59&amp;L$2&amp;$B59,Dados7030!$E$1:$F$360,2,FALSE), VLOOKUP($A59&amp;L$2&amp;$B59,Dados10Fold!$E$1:$F$360,2,FALSE))</f>
        <v>0.5748</v>
      </c>
      <c r="M59" s="6">
        <f>MEDIAN(C59:L60)</f>
        <v>0.5706</v>
      </c>
    </row>
    <row r="60">
      <c r="B60" s="4" t="s">
        <v>17</v>
      </c>
      <c r="C60" s="5">
        <f>IFERROR(VLOOKUP($A59&amp;C$2&amp;$B60,Dados7030!$E$1:$F$360,2,FALSE), VLOOKUP($A59&amp;C$2&amp;$B60,Dados10Fold!$E$1:$F$360,2,FALSE))</f>
        <v>0.5607</v>
      </c>
      <c r="D60" s="5">
        <f>IFERROR(VLOOKUP($A59&amp;D$2&amp;$B60,Dados7030!$E$1:$F$360,2,FALSE), VLOOKUP($A59&amp;D$2&amp;$B60,Dados10Fold!$E$1:$F$360,2,FALSE))</f>
        <v>0.5247</v>
      </c>
      <c r="E60" s="5">
        <f>IFERROR(VLOOKUP($A59&amp;E$2&amp;$B60,Dados7030!$E$1:$F$360,2,FALSE), VLOOKUP($A59&amp;E$2&amp;$B60,Dados10Fold!$E$1:$F$360,2,FALSE))</f>
        <v>0.5642</v>
      </c>
      <c r="F60" s="5">
        <f>IFERROR(VLOOKUP($A59&amp;F$2&amp;$B60,Dados7030!$E$1:$F$360,2,FALSE), VLOOKUP($A59&amp;F$2&amp;$B60,Dados10Fold!$E$1:$F$360,2,FALSE))</f>
        <v>0.5502</v>
      </c>
      <c r="G60" s="5">
        <f>IFERROR(VLOOKUP($A59&amp;G$2&amp;$B60,Dados7030!$E$1:$F$360,2,FALSE), VLOOKUP($A59&amp;G$2&amp;$B60,Dados10Fold!$E$1:$F$360,2,FALSE))</f>
        <v>0.5746</v>
      </c>
      <c r="H60" s="5">
        <f>IFERROR(VLOOKUP($A59&amp;H$2&amp;$B60,Dados7030!$E$1:$F$360,2,FALSE), VLOOKUP($A59&amp;H$2&amp;$B60,Dados10Fold!$E$1:$F$360,2,FALSE))</f>
        <v>0.5696</v>
      </c>
      <c r="I60" s="5">
        <f>IFERROR(VLOOKUP($A59&amp;I$2&amp;$B60,Dados7030!$E$1:$F$360,2,FALSE), VLOOKUP($A59&amp;I$2&amp;$B60,Dados10Fold!$E$1:$F$360,2,FALSE))</f>
        <v>0.5836</v>
      </c>
      <c r="J60" s="5">
        <f>IFERROR(VLOOKUP($A59&amp;J$2&amp;$B60,Dados7030!$E$1:$F$360,2,FALSE), VLOOKUP($A59&amp;J$2&amp;$B60,Dados10Fold!$E$1:$F$360,2,FALSE))</f>
        <v>0.5728</v>
      </c>
      <c r="K60" s="5">
        <f>IFERROR(VLOOKUP($A59&amp;K$2&amp;$B60,Dados7030!$E$1:$F$360,2,FALSE), VLOOKUP($A59&amp;K$2&amp;$B60,Dados10Fold!$E$1:$F$360,2,FALSE))</f>
        <v>0.5927</v>
      </c>
      <c r="L60" s="5">
        <f>IFERROR(VLOOKUP($A59&amp;L$2&amp;$B60,Dados7030!$E$1:$F$360,2,FALSE), VLOOKUP($A59&amp;L$2&amp;$B60,Dados10Fold!$E$1:$F$360,2,FALSE))</f>
        <v>0.5895</v>
      </c>
      <c r="M60" s="8"/>
    </row>
    <row r="61">
      <c r="A61" s="9" t="s">
        <v>38</v>
      </c>
      <c r="B61" s="10" t="s">
        <v>15</v>
      </c>
      <c r="C61" s="11">
        <f>IFERROR(VLOOKUP($A61&amp;C$2&amp;$B61,Dados7030!$E$1:$F$360,2,FALSE), VLOOKUP($A61&amp;C$2&amp;$B61,Dados10Fold!$E$1:$F$360,2,FALSE))</f>
        <v>0.6067</v>
      </c>
      <c r="D61" s="11">
        <f>IFERROR(VLOOKUP($A61&amp;D$2&amp;$B61,Dados7030!$E$1:$F$360,2,FALSE), VLOOKUP($A61&amp;D$2&amp;$B61,Dados10Fold!$E$1:$F$360,2,FALSE))</f>
        <v>0.564</v>
      </c>
      <c r="E61" s="11">
        <f>IFERROR(VLOOKUP($A61&amp;E$2&amp;$B61,Dados7030!$E$1:$F$360,2,FALSE), VLOOKUP($A61&amp;E$2&amp;$B61,Dados10Fold!$E$1:$F$360,2,FALSE))</f>
        <v>0.5803</v>
      </c>
      <c r="F61" s="11">
        <f>IFERROR(VLOOKUP($A61&amp;F$2&amp;$B61,Dados7030!$E$1:$F$360,2,FALSE), VLOOKUP($A61&amp;F$2&amp;$B61,Dados10Fold!$E$1:$F$360,2,FALSE))</f>
        <v>0.5773</v>
      </c>
      <c r="G61" s="11">
        <f>IFERROR(VLOOKUP($A61&amp;G$2&amp;$B61,Dados7030!$E$1:$F$360,2,FALSE), VLOOKUP($A61&amp;G$2&amp;$B61,Dados10Fold!$E$1:$F$360,2,FALSE))</f>
        <v>0.6016</v>
      </c>
      <c r="H61" s="11">
        <f>IFERROR(VLOOKUP($A61&amp;H$2&amp;$B61,Dados7030!$E$1:$F$360,2,FALSE), VLOOKUP($A61&amp;H$2&amp;$B61,Dados10Fold!$E$1:$F$360,2,FALSE))</f>
        <v>0.6031</v>
      </c>
      <c r="I61" s="11">
        <f>IFERROR(VLOOKUP($A61&amp;I$2&amp;$B61,Dados7030!$E$1:$F$360,2,FALSE), VLOOKUP($A61&amp;I$2&amp;$B61,Dados10Fold!$E$1:$F$360,2,FALSE))</f>
        <v>0.6078</v>
      </c>
      <c r="J61" s="11">
        <f>IFERROR(VLOOKUP($A61&amp;J$2&amp;$B61,Dados7030!$E$1:$F$360,2,FALSE), VLOOKUP($A61&amp;J$2&amp;$B61,Dados10Fold!$E$1:$F$360,2,FALSE))</f>
        <v>0.6087</v>
      </c>
      <c r="K61" s="11">
        <f>IFERROR(VLOOKUP($A61&amp;K$2&amp;$B61,Dados7030!$E$1:$F$360,2,FALSE), VLOOKUP($A61&amp;K$2&amp;$B61,Dados10Fold!$E$1:$F$360,2,FALSE))</f>
        <v>0.614</v>
      </c>
      <c r="L61" s="11">
        <f>IFERROR(VLOOKUP($A61&amp;L$2&amp;$B61,Dados7030!$E$1:$F$360,2,FALSE), VLOOKUP($A61&amp;L$2&amp;$B61,Dados10Fold!$E$1:$F$360,2,FALSE))</f>
        <v>0.6171</v>
      </c>
      <c r="M61" s="6">
        <f>MEDIAN(C61:L62)</f>
        <v>0.60235</v>
      </c>
    </row>
    <row r="62">
      <c r="B62" s="10" t="s">
        <v>17</v>
      </c>
      <c r="C62" s="11">
        <f>IFERROR(VLOOKUP($A61&amp;C$2&amp;$B62,Dados7030!$E$1:$F$360,2,FALSE), VLOOKUP($A61&amp;C$2&amp;$B62,Dados10Fold!$E$1:$F$360,2,FALSE))</f>
        <v>0.5914</v>
      </c>
      <c r="D62" s="11">
        <f>IFERROR(VLOOKUP($A61&amp;D$2&amp;$B62,Dados7030!$E$1:$F$360,2,FALSE), VLOOKUP($A61&amp;D$2&amp;$B62,Dados10Fold!$E$1:$F$360,2,FALSE))</f>
        <v>0.5589</v>
      </c>
      <c r="E62" s="11">
        <f>IFERROR(VLOOKUP($A61&amp;E$2&amp;$B62,Dados7030!$E$1:$F$360,2,FALSE), VLOOKUP($A61&amp;E$2&amp;$B62,Dados10Fold!$E$1:$F$360,2,FALSE))</f>
        <v>0.5929</v>
      </c>
      <c r="F62" s="11">
        <f>IFERROR(VLOOKUP($A61&amp;F$2&amp;$B62,Dados7030!$E$1:$F$360,2,FALSE), VLOOKUP($A61&amp;F$2&amp;$B62,Dados10Fold!$E$1:$F$360,2,FALSE))</f>
        <v>0.5897</v>
      </c>
      <c r="G62" s="11">
        <f>IFERROR(VLOOKUP($A61&amp;G$2&amp;$B62,Dados7030!$E$1:$F$360,2,FALSE), VLOOKUP($A61&amp;G$2&amp;$B62,Dados10Fold!$E$1:$F$360,2,FALSE))</f>
        <v>0.5968</v>
      </c>
      <c r="H62" s="11">
        <f>IFERROR(VLOOKUP($A61&amp;H$2&amp;$B62,Dados7030!$E$1:$F$360,2,FALSE), VLOOKUP($A61&amp;H$2&amp;$B62,Dados10Fold!$E$1:$F$360,2,FALSE))</f>
        <v>0.6001</v>
      </c>
      <c r="I62" s="11">
        <f>IFERROR(VLOOKUP($A61&amp;I$2&amp;$B62,Dados7030!$E$1:$F$360,2,FALSE), VLOOKUP($A61&amp;I$2&amp;$B62,Dados10Fold!$E$1:$F$360,2,FALSE))</f>
        <v>0.6064</v>
      </c>
      <c r="J62" s="11">
        <f>IFERROR(VLOOKUP($A61&amp;J$2&amp;$B62,Dados7030!$E$1:$F$360,2,FALSE), VLOOKUP($A61&amp;J$2&amp;$B62,Dados10Fold!$E$1:$F$360,2,FALSE))</f>
        <v>0.609</v>
      </c>
      <c r="K62" s="11">
        <f>IFERROR(VLOOKUP($A61&amp;K$2&amp;$B62,Dados7030!$E$1:$F$360,2,FALSE), VLOOKUP($A61&amp;K$2&amp;$B62,Dados10Fold!$E$1:$F$360,2,FALSE))</f>
        <v>0.6157</v>
      </c>
      <c r="L62" s="11">
        <f>IFERROR(VLOOKUP($A61&amp;L$2&amp;$B62,Dados7030!$E$1:$F$360,2,FALSE), VLOOKUP($A61&amp;L$2&amp;$B62,Dados10Fold!$E$1:$F$360,2,FALSE))</f>
        <v>0.615</v>
      </c>
      <c r="M62" s="8"/>
    </row>
    <row r="63">
      <c r="A63" s="3" t="s">
        <v>48</v>
      </c>
      <c r="B63" s="4" t="s">
        <v>15</v>
      </c>
      <c r="C63" s="5">
        <f>IFERROR(VLOOKUP($A63&amp;C$2&amp;$B63,Dados7030!$E$1:$F$360,2,FALSE), VLOOKUP($A63&amp;C$2&amp;$B63,Dados10Fold!$E$1:$F$360,2,FALSE))</f>
        <v>0.5597</v>
      </c>
      <c r="D63" s="5">
        <f>IFERROR(VLOOKUP($A63&amp;D$2&amp;$B63,Dados7030!$E$1:$F$360,2,FALSE), VLOOKUP($A63&amp;D$2&amp;$B63,Dados10Fold!$E$1:$F$360,2,FALSE))</f>
        <v>0.5364</v>
      </c>
      <c r="E63" s="5">
        <f>IFERROR(VLOOKUP($A63&amp;E$2&amp;$B63,Dados7030!$E$1:$F$360,2,FALSE), VLOOKUP($A63&amp;E$2&amp;$B63,Dados10Fold!$E$1:$F$360,2,FALSE))</f>
        <v>0.5612</v>
      </c>
      <c r="F63" s="5">
        <f>IFERROR(VLOOKUP($A63&amp;F$2&amp;$B63,Dados7030!$E$1:$F$360,2,FALSE), VLOOKUP($A63&amp;F$2&amp;$B63,Dados10Fold!$E$1:$F$360,2,FALSE))</f>
        <v>0.5608</v>
      </c>
      <c r="G63" s="5">
        <f>IFERROR(VLOOKUP($A63&amp;G$2&amp;$B63,Dados7030!$E$1:$F$360,2,FALSE), VLOOKUP($A63&amp;G$2&amp;$B63,Dados10Fold!$E$1:$F$360,2,FALSE))</f>
        <v>0.5763</v>
      </c>
      <c r="H63" s="5">
        <f>IFERROR(VLOOKUP($A63&amp;H$2&amp;$B63,Dados7030!$E$1:$F$360,2,FALSE), VLOOKUP($A63&amp;H$2&amp;$B63,Dados10Fold!$E$1:$F$360,2,FALSE))</f>
        <v>0.5756</v>
      </c>
      <c r="I63" s="5">
        <f>IFERROR(VLOOKUP($A63&amp;I$2&amp;$B63,Dados7030!$E$1:$F$360,2,FALSE), VLOOKUP($A63&amp;I$2&amp;$B63,Dados10Fold!$E$1:$F$360,2,FALSE))</f>
        <v>0.5731</v>
      </c>
      <c r="J63" s="5">
        <f>IFERROR(VLOOKUP($A63&amp;J$2&amp;$B63,Dados7030!$E$1:$F$360,2,FALSE), VLOOKUP($A63&amp;J$2&amp;$B63,Dados10Fold!$E$1:$F$360,2,FALSE))</f>
        <v>0.5756</v>
      </c>
      <c r="K63" s="5">
        <f>IFERROR(VLOOKUP($A63&amp;K$2&amp;$B63,Dados7030!$E$1:$F$360,2,FALSE), VLOOKUP($A63&amp;K$2&amp;$B63,Dados10Fold!$E$1:$F$360,2,FALSE))</f>
        <v>0.5822</v>
      </c>
      <c r="L63" s="5">
        <f>IFERROR(VLOOKUP($A63&amp;L$2&amp;$B63,Dados7030!$E$1:$F$360,2,FALSE), VLOOKUP($A63&amp;L$2&amp;$B63,Dados10Fold!$E$1:$F$360,2,FALSE))</f>
        <v>0.5959</v>
      </c>
      <c r="M63" s="6">
        <f>MEDIAN(C63:L64)</f>
        <v>0.5777</v>
      </c>
    </row>
    <row r="64">
      <c r="B64" s="4" t="s">
        <v>17</v>
      </c>
      <c r="C64" s="5">
        <f>IFERROR(VLOOKUP($A63&amp;C$2&amp;$B64,Dados7030!$E$1:$F$360,2,FALSE), VLOOKUP($A63&amp;C$2&amp;$B64,Dados10Fold!$E$1:$F$360,2,FALSE))</f>
        <v>0.5791</v>
      </c>
      <c r="D64" s="5">
        <f>IFERROR(VLOOKUP($A63&amp;D$2&amp;$B64,Dados7030!$E$1:$F$360,2,FALSE), VLOOKUP($A63&amp;D$2&amp;$B64,Dados10Fold!$E$1:$F$360,2,FALSE))</f>
        <v>0.5553</v>
      </c>
      <c r="E64" s="5">
        <f>IFERROR(VLOOKUP($A63&amp;E$2&amp;$B64,Dados7030!$E$1:$F$360,2,FALSE), VLOOKUP($A63&amp;E$2&amp;$B64,Dados10Fold!$E$1:$F$360,2,FALSE))</f>
        <v>0.5821</v>
      </c>
      <c r="F64" s="5">
        <f>IFERROR(VLOOKUP($A63&amp;F$2&amp;$B64,Dados7030!$E$1:$F$360,2,FALSE), VLOOKUP($A63&amp;F$2&amp;$B64,Dados10Fold!$E$1:$F$360,2,FALSE))</f>
        <v>0.5711</v>
      </c>
      <c r="G64" s="5">
        <f>IFERROR(VLOOKUP($A63&amp;G$2&amp;$B64,Dados7030!$E$1:$F$360,2,FALSE), VLOOKUP($A63&amp;G$2&amp;$B64,Dados10Fold!$E$1:$F$360,2,FALSE))</f>
        <v>0.5953</v>
      </c>
      <c r="H64" s="5">
        <f>IFERROR(VLOOKUP($A63&amp;H$2&amp;$B64,Dados7030!$E$1:$F$360,2,FALSE), VLOOKUP($A63&amp;H$2&amp;$B64,Dados10Fold!$E$1:$F$360,2,FALSE))</f>
        <v>0.5931</v>
      </c>
      <c r="I64" s="5">
        <f>IFERROR(VLOOKUP($A63&amp;I$2&amp;$B64,Dados7030!$E$1:$F$360,2,FALSE), VLOOKUP($A63&amp;I$2&amp;$B64,Dados10Fold!$E$1:$F$360,2,FALSE))</f>
        <v>0.604</v>
      </c>
      <c r="J64" s="5">
        <f>IFERROR(VLOOKUP($A63&amp;J$2&amp;$B64,Dados7030!$E$1:$F$360,2,FALSE), VLOOKUP($A63&amp;J$2&amp;$B64,Dados10Fold!$E$1:$F$360,2,FALSE))</f>
        <v>0.6021</v>
      </c>
      <c r="K64" s="5">
        <f>IFERROR(VLOOKUP($A63&amp;K$2&amp;$B64,Dados7030!$E$1:$F$360,2,FALSE), VLOOKUP($A63&amp;K$2&amp;$B64,Dados10Fold!$E$1:$F$360,2,FALSE))</f>
        <v>0.6041</v>
      </c>
      <c r="L64" s="5">
        <f>IFERROR(VLOOKUP($A63&amp;L$2&amp;$B64,Dados7030!$E$1:$F$360,2,FALSE), VLOOKUP($A63&amp;L$2&amp;$B64,Dados10Fold!$E$1:$F$360,2,FALSE))</f>
        <v>0.6053</v>
      </c>
      <c r="M64" s="8"/>
    </row>
    <row r="65">
      <c r="A65" s="1" t="s">
        <v>49</v>
      </c>
      <c r="B65" s="2" t="s">
        <v>15</v>
      </c>
      <c r="C65" s="12">
        <f>IFERROR(VLOOKUP($A65&amp;C$2&amp;$B65,Dados7030!$E$1:$F$360,2,FALSE), VLOOKUP($A65&amp;C$2&amp;$B65,Dados10Fold!$E$1:$F$360,2,FALSE))</f>
        <v>0.5379</v>
      </c>
      <c r="D65" s="12">
        <f>IFERROR(VLOOKUP($A65&amp;D$2&amp;$B65,Dados7030!$E$1:$F$360,2,FALSE), VLOOKUP($A65&amp;D$2&amp;$B65,Dados10Fold!$E$1:$F$360,2,FALSE))</f>
        <v>0.5087</v>
      </c>
      <c r="E65" s="12">
        <f>IFERROR(VLOOKUP($A65&amp;E$2&amp;$B65,Dados7030!$E$1:$F$360,2,FALSE), VLOOKUP($A65&amp;E$2&amp;$B65,Dados10Fold!$E$1:$F$360,2,FALSE))</f>
        <v>0.558</v>
      </c>
      <c r="F65" s="12">
        <f>IFERROR(VLOOKUP($A65&amp;F$2&amp;$B65,Dados7030!$E$1:$F$360,2,FALSE), VLOOKUP($A65&amp;F$2&amp;$B65,Dados10Fold!$E$1:$F$360,2,FALSE))</f>
        <v>0.5314</v>
      </c>
      <c r="G65" s="12">
        <f>IFERROR(VLOOKUP($A65&amp;G$2&amp;$B65,Dados7030!$E$1:$F$360,2,FALSE), VLOOKUP($A65&amp;G$2&amp;$B65,Dados10Fold!$E$1:$F$360,2,FALSE))</f>
        <v>0.5608</v>
      </c>
      <c r="H65" s="12">
        <f>IFERROR(VLOOKUP($A65&amp;H$2&amp;$B65,Dados7030!$E$1:$F$360,2,FALSE), VLOOKUP($A65&amp;H$2&amp;$B65,Dados10Fold!$E$1:$F$360,2,FALSE))</f>
        <v>0.5469</v>
      </c>
      <c r="I65" s="12">
        <f>IFERROR(VLOOKUP($A65&amp;I$2&amp;$B65,Dados7030!$E$1:$F$360,2,FALSE), VLOOKUP($A65&amp;I$2&amp;$B65,Dados10Fold!$E$1:$F$360,2,FALSE))</f>
        <v>0.571</v>
      </c>
      <c r="J65" s="12">
        <f>IFERROR(VLOOKUP($A65&amp;J$2&amp;$B65,Dados7030!$E$1:$F$360,2,FALSE), VLOOKUP($A65&amp;J$2&amp;$B65,Dados10Fold!$E$1:$F$360,2,FALSE))</f>
        <v>0.5555</v>
      </c>
      <c r="K65" s="12">
        <f>IFERROR(VLOOKUP($A65&amp;K$2&amp;$B65,Dados7030!$E$1:$F$360,2,FALSE), VLOOKUP($A65&amp;K$2&amp;$B65,Dados10Fold!$E$1:$F$360,2,FALSE))</f>
        <v>0.5795</v>
      </c>
      <c r="L65" s="12">
        <f>IFERROR(VLOOKUP($A65&amp;L$2&amp;$B65,Dados7030!$E$1:$F$360,2,FALSE), VLOOKUP($A65&amp;L$2&amp;$B65,Dados10Fold!$E$1:$F$360,2,FALSE))</f>
        <v>0.5643</v>
      </c>
      <c r="M65" s="6">
        <f>MEDIAN(C65:L66)</f>
        <v>0.5594</v>
      </c>
    </row>
    <row r="66">
      <c r="B66" s="2" t="s">
        <v>17</v>
      </c>
      <c r="C66" s="12">
        <f>IFERROR(VLOOKUP($A65&amp;C$2&amp;$B66,Dados7030!$E$1:$F$360,2,FALSE), VLOOKUP($A65&amp;C$2&amp;$B66,Dados10Fold!$E$1:$F$360,2,FALSE))</f>
        <v>0.5574</v>
      </c>
      <c r="D66" s="12">
        <f>IFERROR(VLOOKUP($A65&amp;D$2&amp;$B66,Dados7030!$E$1:$F$360,2,FALSE), VLOOKUP($A65&amp;D$2&amp;$B66,Dados10Fold!$E$1:$F$360,2,FALSE))</f>
        <v>0.5244</v>
      </c>
      <c r="E66" s="12">
        <f>IFERROR(VLOOKUP($A65&amp;E$2&amp;$B66,Dados7030!$E$1:$F$360,2,FALSE), VLOOKUP($A65&amp;E$2&amp;$B66,Dados10Fold!$E$1:$F$360,2,FALSE))</f>
        <v>0.5676</v>
      </c>
      <c r="F66" s="12">
        <f>IFERROR(VLOOKUP($A65&amp;F$2&amp;$B66,Dados7030!$E$1:$F$360,2,FALSE), VLOOKUP($A65&amp;F$2&amp;$B66,Dados10Fold!$E$1:$F$360,2,FALSE))</f>
        <v>0.5487</v>
      </c>
      <c r="G66" s="12">
        <f>IFERROR(VLOOKUP($A65&amp;G$2&amp;$B66,Dados7030!$E$1:$F$360,2,FALSE), VLOOKUP($A65&amp;G$2&amp;$B66,Dados10Fold!$E$1:$F$360,2,FALSE))</f>
        <v>0.5728</v>
      </c>
      <c r="H66" s="12">
        <f>IFERROR(VLOOKUP($A65&amp;H$2&amp;$B66,Dados7030!$E$1:$F$360,2,FALSE), VLOOKUP($A65&amp;H$2&amp;$B66,Dados10Fold!$E$1:$F$360,2,FALSE))</f>
        <v>0.5573</v>
      </c>
      <c r="I66" s="12">
        <f>IFERROR(VLOOKUP($A65&amp;I$2&amp;$B66,Dados7030!$E$1:$F$360,2,FALSE), VLOOKUP($A65&amp;I$2&amp;$B66,Dados10Fold!$E$1:$F$360,2,FALSE))</f>
        <v>0.5784</v>
      </c>
      <c r="J66" s="12">
        <f>IFERROR(VLOOKUP($A65&amp;J$2&amp;$B66,Dados7030!$E$1:$F$360,2,FALSE), VLOOKUP($A65&amp;J$2&amp;$B66,Dados10Fold!$E$1:$F$360,2,FALSE))</f>
        <v>0.5705</v>
      </c>
      <c r="K66" s="12">
        <f>IFERROR(VLOOKUP($A65&amp;K$2&amp;$B66,Dados7030!$E$1:$F$360,2,FALSE), VLOOKUP($A65&amp;K$2&amp;$B66,Dados10Fold!$E$1:$F$360,2,FALSE))</f>
        <v>0.574</v>
      </c>
      <c r="L66" s="12">
        <f>IFERROR(VLOOKUP($A65&amp;L$2&amp;$B66,Dados7030!$E$1:$F$360,2,FALSE), VLOOKUP($A65&amp;L$2&amp;$B66,Dados10Fold!$E$1:$F$360,2,FALSE))</f>
        <v>0.5716</v>
      </c>
      <c r="M66" s="8"/>
    </row>
    <row r="67">
      <c r="A67" s="3" t="s">
        <v>50</v>
      </c>
      <c r="B67" s="4" t="s">
        <v>15</v>
      </c>
      <c r="C67" s="5">
        <f>IFERROR(VLOOKUP($A67&amp;C$2&amp;$B67,Dados7030!$E$1:$F$360,2,FALSE), VLOOKUP($A67&amp;C$2&amp;$B67,Dados10Fold!$E$1:$F$360,2,FALSE))</f>
        <v>0.574</v>
      </c>
      <c r="D67" s="5">
        <f>IFERROR(VLOOKUP($A67&amp;D$2&amp;$B67,Dados7030!$E$1:$F$360,2,FALSE), VLOOKUP($A67&amp;D$2&amp;$B67,Dados10Fold!$E$1:$F$360,2,FALSE))</f>
        <v>0.5291</v>
      </c>
      <c r="E67" s="5">
        <f>IFERROR(VLOOKUP($A67&amp;E$2&amp;$B67,Dados7030!$E$1:$F$360,2,FALSE), VLOOKUP($A67&amp;E$2&amp;$B67,Dados10Fold!$E$1:$F$360,2,FALSE))</f>
        <v>0.5727</v>
      </c>
      <c r="F67" s="5">
        <f>IFERROR(VLOOKUP($A67&amp;F$2&amp;$B67,Dados7030!$E$1:$F$360,2,FALSE), VLOOKUP($A67&amp;F$2&amp;$B67,Dados10Fold!$E$1:$F$360,2,FALSE))</f>
        <v>0.5607</v>
      </c>
      <c r="G67" s="5">
        <f>IFERROR(VLOOKUP($A67&amp;G$2&amp;$B67,Dados7030!$E$1:$F$360,2,FALSE), VLOOKUP($A67&amp;G$2&amp;$B67,Dados10Fold!$E$1:$F$360,2,FALSE))</f>
        <v>0.5854</v>
      </c>
      <c r="H67" s="5">
        <f>IFERROR(VLOOKUP($A67&amp;H$2&amp;$B67,Dados7030!$E$1:$F$360,2,FALSE), VLOOKUP($A67&amp;H$2&amp;$B67,Dados10Fold!$E$1:$F$360,2,FALSE))</f>
        <v>0.5899</v>
      </c>
      <c r="I67" s="5">
        <f>IFERROR(VLOOKUP($A67&amp;I$2&amp;$B67,Dados7030!$E$1:$F$360,2,FALSE), VLOOKUP($A67&amp;I$2&amp;$B67,Dados10Fold!$E$1:$F$360,2,FALSE))</f>
        <v>0.5975</v>
      </c>
      <c r="J67" s="5">
        <f>IFERROR(VLOOKUP($A67&amp;J$2&amp;$B67,Dados7030!$E$1:$F$360,2,FALSE), VLOOKUP($A67&amp;J$2&amp;$B67,Dados10Fold!$E$1:$F$360,2,FALSE))</f>
        <v>0.5831</v>
      </c>
      <c r="K67" s="5">
        <f>IFERROR(VLOOKUP($A67&amp;K$2&amp;$B67,Dados7030!$E$1:$F$360,2,FALSE), VLOOKUP($A67&amp;K$2&amp;$B67,Dados10Fold!$E$1:$F$360,2,FALSE))</f>
        <v>0.5948</v>
      </c>
      <c r="L67" s="5">
        <f>IFERROR(VLOOKUP($A67&amp;L$2&amp;$B67,Dados7030!$E$1:$F$360,2,FALSE), VLOOKUP($A67&amp;L$2&amp;$B67,Dados10Fold!$E$1:$F$360,2,FALSE))</f>
        <v>0.6018</v>
      </c>
      <c r="M67" s="6">
        <f>MEDIAN(C67:L68)</f>
        <v>0.58765</v>
      </c>
    </row>
    <row r="68">
      <c r="B68" s="4" t="s">
        <v>17</v>
      </c>
      <c r="C68" s="5">
        <f>IFERROR(VLOOKUP($A67&amp;C$2&amp;$B68,Dados7030!$E$1:$F$360,2,FALSE), VLOOKUP($A67&amp;C$2&amp;$B68,Dados10Fold!$E$1:$F$360,2,FALSE))</f>
        <v>0.5749</v>
      </c>
      <c r="D68" s="5">
        <f>IFERROR(VLOOKUP($A67&amp;D$2&amp;$B68,Dados7030!$E$1:$F$360,2,FALSE), VLOOKUP($A67&amp;D$2&amp;$B68,Dados10Fold!$E$1:$F$360,2,FALSE))</f>
        <v>0.5423</v>
      </c>
      <c r="E68" s="5">
        <f>IFERROR(VLOOKUP($A67&amp;E$2&amp;$B68,Dados7030!$E$1:$F$360,2,FALSE), VLOOKUP($A67&amp;E$2&amp;$B68,Dados10Fold!$E$1:$F$360,2,FALSE))</f>
        <v>0.5853</v>
      </c>
      <c r="F68" s="5">
        <f>IFERROR(VLOOKUP($A67&amp;F$2&amp;$B68,Dados7030!$E$1:$F$360,2,FALSE), VLOOKUP($A67&amp;F$2&amp;$B68,Dados10Fold!$E$1:$F$360,2,FALSE))</f>
        <v>0.5831</v>
      </c>
      <c r="G68" s="5">
        <f>IFERROR(VLOOKUP($A67&amp;G$2&amp;$B68,Dados7030!$E$1:$F$360,2,FALSE), VLOOKUP($A67&amp;G$2&amp;$B68,Dados10Fold!$E$1:$F$360,2,FALSE))</f>
        <v>0.5995</v>
      </c>
      <c r="H68" s="5">
        <f>IFERROR(VLOOKUP($A67&amp;H$2&amp;$B68,Dados7030!$E$1:$F$360,2,FALSE), VLOOKUP($A67&amp;H$2&amp;$B68,Dados10Fold!$E$1:$F$360,2,FALSE))</f>
        <v>0.5935</v>
      </c>
      <c r="I68" s="5">
        <f>IFERROR(VLOOKUP($A67&amp;I$2&amp;$B68,Dados7030!$E$1:$F$360,2,FALSE), VLOOKUP($A67&amp;I$2&amp;$B68,Dados10Fold!$E$1:$F$360,2,FALSE))</f>
        <v>0.6045</v>
      </c>
      <c r="J68" s="5">
        <f>IFERROR(VLOOKUP($A67&amp;J$2&amp;$B68,Dados7030!$E$1:$F$360,2,FALSE), VLOOKUP($A67&amp;J$2&amp;$B68,Dados10Fold!$E$1:$F$360,2,FALSE))</f>
        <v>0.6019</v>
      </c>
      <c r="K68" s="5">
        <f>IFERROR(VLOOKUP($A67&amp;K$2&amp;$B68,Dados7030!$E$1:$F$360,2,FALSE), VLOOKUP($A67&amp;K$2&amp;$B68,Dados10Fold!$E$1:$F$360,2,FALSE))</f>
        <v>0.6038</v>
      </c>
      <c r="L68" s="5">
        <f>IFERROR(VLOOKUP($A67&amp;L$2&amp;$B68,Dados7030!$E$1:$F$360,2,FALSE), VLOOKUP($A67&amp;L$2&amp;$B68,Dados10Fold!$E$1:$F$360,2,FALSE))</f>
        <v>0.6029</v>
      </c>
      <c r="M68" s="8"/>
    </row>
    <row r="69">
      <c r="A69" s="9" t="s">
        <v>39</v>
      </c>
      <c r="B69" s="10" t="s">
        <v>15</v>
      </c>
      <c r="C69" s="11">
        <f>IFERROR(VLOOKUP($A69&amp;C$2&amp;$B69,Dados7030!$E$1:$F$360,2,FALSE), VLOOKUP($A69&amp;C$2&amp;$B69,Dados10Fold!$E$1:$F$360,2,FALSE))</f>
        <v>0.588</v>
      </c>
      <c r="D69" s="11">
        <f>IFERROR(VLOOKUP($A69&amp;D$2&amp;$B69,Dados7030!$E$1:$F$360,2,FALSE), VLOOKUP($A69&amp;D$2&amp;$B69,Dados10Fold!$E$1:$F$360,2,FALSE))</f>
        <v>0.5748</v>
      </c>
      <c r="E69" s="11">
        <f>IFERROR(VLOOKUP($A69&amp;E$2&amp;$B69,Dados7030!$E$1:$F$360,2,FALSE), VLOOKUP($A69&amp;E$2&amp;$B69,Dados10Fold!$E$1:$F$360,2,FALSE))</f>
        <v>0.6206</v>
      </c>
      <c r="F69" s="11">
        <f>IFERROR(VLOOKUP($A69&amp;F$2&amp;$B69,Dados7030!$E$1:$F$360,2,FALSE), VLOOKUP($A69&amp;F$2&amp;$B69,Dados10Fold!$E$1:$F$360,2,FALSE))</f>
        <v>0.5932</v>
      </c>
      <c r="G69" s="11">
        <f>IFERROR(VLOOKUP($A69&amp;G$2&amp;$B69,Dados7030!$E$1:$F$360,2,FALSE), VLOOKUP($A69&amp;G$2&amp;$B69,Dados10Fold!$E$1:$F$360,2,FALSE))</f>
        <v>0.6213</v>
      </c>
      <c r="H69" s="11">
        <f>IFERROR(VLOOKUP($A69&amp;H$2&amp;$B69,Dados7030!$E$1:$F$360,2,FALSE), VLOOKUP($A69&amp;H$2&amp;$B69,Dados10Fold!$E$1:$F$360,2,FALSE))</f>
        <v>0.6154</v>
      </c>
      <c r="I69" s="11">
        <f>IFERROR(VLOOKUP($A69&amp;I$2&amp;$B69,Dados7030!$E$1:$F$360,2,FALSE), VLOOKUP($A69&amp;I$2&amp;$B69,Dados10Fold!$E$1:$F$360,2,FALSE))</f>
        <v>0.6191</v>
      </c>
      <c r="J69" s="11">
        <f>IFERROR(VLOOKUP($A69&amp;J$2&amp;$B69,Dados7030!$E$1:$F$360,2,FALSE), VLOOKUP($A69&amp;J$2&amp;$B69,Dados10Fold!$E$1:$F$360,2,FALSE))</f>
        <v>0.6265</v>
      </c>
      <c r="K69" s="11">
        <f>IFERROR(VLOOKUP($A69&amp;K$2&amp;$B69,Dados7030!$E$1:$F$360,2,FALSE), VLOOKUP($A69&amp;K$2&amp;$B69,Dados10Fold!$E$1:$F$360,2,FALSE))</f>
        <v>0.6261</v>
      </c>
      <c r="L69" s="11">
        <f>IFERROR(VLOOKUP($A69&amp;L$2&amp;$B69,Dados7030!$E$1:$F$360,2,FALSE), VLOOKUP($A69&amp;L$2&amp;$B69,Dados10Fold!$E$1:$F$360,2,FALSE))</f>
        <v>0.6294</v>
      </c>
      <c r="M69" s="6">
        <f>MEDIAN(C69:L70)</f>
        <v>0.62095</v>
      </c>
    </row>
    <row r="70">
      <c r="B70" s="10" t="s">
        <v>17</v>
      </c>
      <c r="C70" s="11">
        <f>IFERROR(VLOOKUP($A69&amp;C$2&amp;$B70,Dados7030!$E$1:$F$360,2,FALSE), VLOOKUP($A69&amp;C$2&amp;$B70,Dados10Fold!$E$1:$F$360,2,FALSE))</f>
        <v>0.6013</v>
      </c>
      <c r="D70" s="11">
        <f>IFERROR(VLOOKUP($A69&amp;D$2&amp;$B70,Dados7030!$E$1:$F$360,2,FALSE), VLOOKUP($A69&amp;D$2&amp;$B70,Dados10Fold!$E$1:$F$360,2,FALSE))</f>
        <v>0.5847</v>
      </c>
      <c r="E70" s="11">
        <f>IFERROR(VLOOKUP($A69&amp;E$2&amp;$B70,Dados7030!$E$1:$F$360,2,FALSE), VLOOKUP($A69&amp;E$2&amp;$B70,Dados10Fold!$E$1:$F$360,2,FALSE))</f>
        <v>0.6171</v>
      </c>
      <c r="F70" s="11">
        <f>IFERROR(VLOOKUP($A69&amp;F$2&amp;$B70,Dados7030!$E$1:$F$360,2,FALSE), VLOOKUP($A69&amp;F$2&amp;$B70,Dados10Fold!$E$1:$F$360,2,FALSE))</f>
        <v>0.616</v>
      </c>
      <c r="G70" s="11">
        <f>IFERROR(VLOOKUP($A69&amp;G$2&amp;$B70,Dados7030!$E$1:$F$360,2,FALSE), VLOOKUP($A69&amp;G$2&amp;$B70,Dados10Fold!$E$1:$F$360,2,FALSE))</f>
        <v>0.626</v>
      </c>
      <c r="H70" s="11">
        <f>IFERROR(VLOOKUP($A69&amp;H$2&amp;$B70,Dados7030!$E$1:$F$360,2,FALSE), VLOOKUP($A69&amp;H$2&amp;$B70,Dados10Fold!$E$1:$F$360,2,FALSE))</f>
        <v>0.6284</v>
      </c>
      <c r="I70" s="11">
        <f>IFERROR(VLOOKUP($A69&amp;I$2&amp;$B70,Dados7030!$E$1:$F$360,2,FALSE), VLOOKUP($A69&amp;I$2&amp;$B70,Dados10Fold!$E$1:$F$360,2,FALSE))</f>
        <v>0.6393</v>
      </c>
      <c r="J70" s="11">
        <f>IFERROR(VLOOKUP($A69&amp;J$2&amp;$B70,Dados7030!$E$1:$F$360,2,FALSE), VLOOKUP($A69&amp;J$2&amp;$B70,Dados10Fold!$E$1:$F$360,2,FALSE))</f>
        <v>0.6332</v>
      </c>
      <c r="K70" s="11">
        <f>IFERROR(VLOOKUP($A69&amp;K$2&amp;$B70,Dados7030!$E$1:$F$360,2,FALSE), VLOOKUP($A69&amp;K$2&amp;$B70,Dados10Fold!$E$1:$F$360,2,FALSE))</f>
        <v>0.6394</v>
      </c>
      <c r="L70" s="11">
        <f>IFERROR(VLOOKUP($A69&amp;L$2&amp;$B70,Dados7030!$E$1:$F$360,2,FALSE), VLOOKUP($A69&amp;L$2&amp;$B70,Dados10Fold!$E$1:$F$360,2,FALSE))</f>
        <v>0.6381</v>
      </c>
      <c r="M70" s="8"/>
    </row>
    <row r="71">
      <c r="A71" s="3" t="s">
        <v>51</v>
      </c>
      <c r="B71" s="4" t="s">
        <v>15</v>
      </c>
      <c r="C71" s="5">
        <f>IFERROR(VLOOKUP($A71&amp;C$2&amp;$B71,Dados7030!$E$1:$F$360,2,FALSE), VLOOKUP($A71&amp;C$2&amp;$B71,Dados10Fold!$E$1:$F$360,2,FALSE))</f>
        <v>0.5566</v>
      </c>
      <c r="D71" s="5">
        <f>IFERROR(VLOOKUP($A71&amp;D$2&amp;$B71,Dados7030!$E$1:$F$360,2,FALSE), VLOOKUP($A71&amp;D$2&amp;$B71,Dados10Fold!$E$1:$F$360,2,FALSE))</f>
        <v>0.5007</v>
      </c>
      <c r="E71" s="5">
        <f>IFERROR(VLOOKUP($A71&amp;E$2&amp;$B71,Dados7030!$E$1:$F$360,2,FALSE), VLOOKUP($A71&amp;E$2&amp;$B71,Dados10Fold!$E$1:$F$360,2,FALSE))</f>
        <v>0.5664</v>
      </c>
      <c r="F71" s="5">
        <f>IFERROR(VLOOKUP($A71&amp;F$2&amp;$B71,Dados7030!$E$1:$F$360,2,FALSE), VLOOKUP($A71&amp;F$2&amp;$B71,Dados10Fold!$E$1:$F$360,2,FALSE))</f>
        <v>0.5424</v>
      </c>
      <c r="G71" s="5">
        <f>IFERROR(VLOOKUP($A71&amp;G$2&amp;$B71,Dados7030!$E$1:$F$360,2,FALSE), VLOOKUP($A71&amp;G$2&amp;$B71,Dados10Fold!$E$1:$F$360,2,FALSE))</f>
        <v>0.5759</v>
      </c>
      <c r="H71" s="5">
        <f>IFERROR(VLOOKUP($A71&amp;H$2&amp;$B71,Dados7030!$E$1:$F$360,2,FALSE), VLOOKUP($A71&amp;H$2&amp;$B71,Dados10Fold!$E$1:$F$360,2,FALSE))</f>
        <v>0.5674</v>
      </c>
      <c r="I71" s="5">
        <f>IFERROR(VLOOKUP($A71&amp;I$2&amp;$B71,Dados7030!$E$1:$F$360,2,FALSE), VLOOKUP($A71&amp;I$2&amp;$B71,Dados10Fold!$E$1:$F$360,2,FALSE))</f>
        <v>0.5712</v>
      </c>
      <c r="J71" s="5">
        <f>IFERROR(VLOOKUP($A71&amp;J$2&amp;$B71,Dados7030!$E$1:$F$360,2,FALSE), VLOOKUP($A71&amp;J$2&amp;$B71,Dados10Fold!$E$1:$F$360,2,FALSE))</f>
        <v>0.5779</v>
      </c>
      <c r="K71" s="5">
        <f>IFERROR(VLOOKUP($A71&amp;K$2&amp;$B71,Dados7030!$E$1:$F$360,2,FALSE), VLOOKUP($A71&amp;K$2&amp;$B71,Dados10Fold!$E$1:$F$360,2,FALSE))</f>
        <v>0.5823</v>
      </c>
      <c r="L71" s="5">
        <f>IFERROR(VLOOKUP($A71&amp;L$2&amp;$B71,Dados7030!$E$1:$F$360,2,FALSE), VLOOKUP($A71&amp;L$2&amp;$B71,Dados10Fold!$E$1:$F$360,2,FALSE))</f>
        <v>0.5813</v>
      </c>
      <c r="M71" s="6">
        <f>MEDIAN(C71:L72)</f>
        <v>0.5714</v>
      </c>
    </row>
    <row r="72">
      <c r="B72" s="4" t="s">
        <v>17</v>
      </c>
      <c r="C72" s="5">
        <f>IFERROR(VLOOKUP($A71&amp;C$2&amp;$B72,Dados7030!$E$1:$F$360,2,FALSE), VLOOKUP($A71&amp;C$2&amp;$B72,Dados10Fold!$E$1:$F$360,2,FALSE))</f>
        <v>0.5486</v>
      </c>
      <c r="D72" s="5">
        <f>IFERROR(VLOOKUP($A71&amp;D$2&amp;$B72,Dados7030!$E$1:$F$360,2,FALSE), VLOOKUP($A71&amp;D$2&amp;$B72,Dados10Fold!$E$1:$F$360,2,FALSE))</f>
        <v>0.5143</v>
      </c>
      <c r="E72" s="5">
        <f>IFERROR(VLOOKUP($A71&amp;E$2&amp;$B72,Dados7030!$E$1:$F$360,2,FALSE), VLOOKUP($A71&amp;E$2&amp;$B72,Dados10Fold!$E$1:$F$360,2,FALSE))</f>
        <v>0.5634</v>
      </c>
      <c r="F72" s="5">
        <f>IFERROR(VLOOKUP($A71&amp;F$2&amp;$B72,Dados7030!$E$1:$F$360,2,FALSE), VLOOKUP($A71&amp;F$2&amp;$B72,Dados10Fold!$E$1:$F$360,2,FALSE))</f>
        <v>0.5533</v>
      </c>
      <c r="G72" s="5">
        <f>IFERROR(VLOOKUP($A71&amp;G$2&amp;$B72,Dados7030!$E$1:$F$360,2,FALSE), VLOOKUP($A71&amp;G$2&amp;$B72,Dados10Fold!$E$1:$F$360,2,FALSE))</f>
        <v>0.5723</v>
      </c>
      <c r="H72" s="5">
        <f>IFERROR(VLOOKUP($A71&amp;H$2&amp;$B72,Dados7030!$E$1:$F$360,2,FALSE), VLOOKUP($A71&amp;H$2&amp;$B72,Dados10Fold!$E$1:$F$360,2,FALSE))</f>
        <v>0.5716</v>
      </c>
      <c r="I72" s="5">
        <f>IFERROR(VLOOKUP($A71&amp;I$2&amp;$B72,Dados7030!$E$1:$F$360,2,FALSE), VLOOKUP($A71&amp;I$2&amp;$B72,Dados10Fold!$E$1:$F$360,2,FALSE))</f>
        <v>0.5857</v>
      </c>
      <c r="J72" s="5">
        <f>IFERROR(VLOOKUP($A71&amp;J$2&amp;$B72,Dados7030!$E$1:$F$360,2,FALSE), VLOOKUP($A71&amp;J$2&amp;$B72,Dados10Fold!$E$1:$F$360,2,FALSE))</f>
        <v>0.578</v>
      </c>
      <c r="K72" s="5">
        <f>IFERROR(VLOOKUP($A71&amp;K$2&amp;$B72,Dados7030!$E$1:$F$360,2,FALSE), VLOOKUP($A71&amp;K$2&amp;$B72,Dados10Fold!$E$1:$F$360,2,FALSE))</f>
        <v>0.5895</v>
      </c>
      <c r="L72" s="5">
        <f>IFERROR(VLOOKUP($A71&amp;L$2&amp;$B72,Dados7030!$E$1:$F$360,2,FALSE), VLOOKUP($A71&amp;L$2&amp;$B72,Dados10Fold!$E$1:$F$360,2,FALSE))</f>
        <v>0.5839</v>
      </c>
      <c r="M72" s="8"/>
    </row>
    <row r="73">
      <c r="A73" s="9" t="s">
        <v>41</v>
      </c>
      <c r="B73" s="10" t="s">
        <v>15</v>
      </c>
      <c r="C73" s="11">
        <f>IFERROR(VLOOKUP($A73&amp;C$2&amp;$B73,Dados7030!$E$1:$F$360,2,FALSE), VLOOKUP($A73&amp;C$2&amp;$B73,Dados10Fold!$E$1:$F$360,2,FALSE))</f>
        <v>0.5817</v>
      </c>
      <c r="D73" s="11">
        <f>IFERROR(VLOOKUP($A73&amp;D$2&amp;$B73,Dados7030!$E$1:$F$360,2,FALSE), VLOOKUP($A73&amp;D$2&amp;$B73,Dados10Fold!$E$1:$F$360,2,FALSE))</f>
        <v>0.5723</v>
      </c>
      <c r="E73" s="11">
        <f>IFERROR(VLOOKUP($A73&amp;E$2&amp;$B73,Dados7030!$E$1:$F$360,2,FALSE), VLOOKUP($A73&amp;E$2&amp;$B73,Dados10Fold!$E$1:$F$360,2,FALSE))</f>
        <v>0.6234</v>
      </c>
      <c r="F73" s="11">
        <f>IFERROR(VLOOKUP($A73&amp;F$2&amp;$B73,Dados7030!$E$1:$F$360,2,FALSE), VLOOKUP($A73&amp;F$2&amp;$B73,Dados10Fold!$E$1:$F$360,2,FALSE))</f>
        <v>0.6024</v>
      </c>
      <c r="G73" s="11">
        <f>IFERROR(VLOOKUP($A73&amp;G$2&amp;$B73,Dados7030!$E$1:$F$360,2,FALSE), VLOOKUP($A73&amp;G$2&amp;$B73,Dados10Fold!$E$1:$F$360,2,FALSE))</f>
        <v>0.6268</v>
      </c>
      <c r="H73" s="11">
        <f>IFERROR(VLOOKUP($A73&amp;H$2&amp;$B73,Dados7030!$E$1:$F$360,2,FALSE), VLOOKUP($A73&amp;H$2&amp;$B73,Dados10Fold!$E$1:$F$360,2,FALSE))</f>
        <v>0.613</v>
      </c>
      <c r="I73" s="11">
        <f>IFERROR(VLOOKUP($A73&amp;I$2&amp;$B73,Dados7030!$E$1:$F$360,2,FALSE), VLOOKUP($A73&amp;I$2&amp;$B73,Dados10Fold!$E$1:$F$360,2,FALSE))</f>
        <v>0.6141</v>
      </c>
      <c r="J73" s="11">
        <f>IFERROR(VLOOKUP($A73&amp;J$2&amp;$B73,Dados7030!$E$1:$F$360,2,FALSE), VLOOKUP($A73&amp;J$2&amp;$B73,Dados10Fold!$E$1:$F$360,2,FALSE))</f>
        <v>0.6235</v>
      </c>
      <c r="K73" s="11">
        <f>IFERROR(VLOOKUP($A73&amp;K$2&amp;$B73,Dados7030!$E$1:$F$360,2,FALSE), VLOOKUP($A73&amp;K$2&amp;$B73,Dados10Fold!$E$1:$F$360,2,FALSE))</f>
        <v>0.6285</v>
      </c>
      <c r="L73" s="11">
        <f>IFERROR(VLOOKUP($A73&amp;L$2&amp;$B73,Dados7030!$E$1:$F$360,2,FALSE), VLOOKUP($A73&amp;L$2&amp;$B73,Dados10Fold!$E$1:$F$360,2,FALSE))</f>
        <v>0.6269</v>
      </c>
      <c r="M73" s="6">
        <f>MEDIAN(C73:L74)</f>
        <v>0.61355</v>
      </c>
    </row>
    <row r="74">
      <c r="B74" s="10" t="s">
        <v>17</v>
      </c>
      <c r="C74" s="11">
        <f>IFERROR(VLOOKUP($A73&amp;C$2&amp;$B74,Dados7030!$E$1:$F$360,2,FALSE), VLOOKUP($A73&amp;C$2&amp;$B74,Dados10Fold!$E$1:$F$360,2,FALSE))</f>
        <v>0.5826</v>
      </c>
      <c r="D74" s="11">
        <f>IFERROR(VLOOKUP($A73&amp;D$2&amp;$B74,Dados7030!$E$1:$F$360,2,FALSE), VLOOKUP($A73&amp;D$2&amp;$B74,Dados10Fold!$E$1:$F$360,2,FALSE))</f>
        <v>0.5662</v>
      </c>
      <c r="E74" s="11">
        <f>IFERROR(VLOOKUP($A73&amp;E$2&amp;$B74,Dados7030!$E$1:$F$360,2,FALSE), VLOOKUP($A73&amp;E$2&amp;$B74,Dados10Fold!$E$1:$F$360,2,FALSE))</f>
        <v>0.599</v>
      </c>
      <c r="F74" s="11">
        <f>IFERROR(VLOOKUP($A73&amp;F$2&amp;$B74,Dados7030!$E$1:$F$360,2,FALSE), VLOOKUP($A73&amp;F$2&amp;$B74,Dados10Fold!$E$1:$F$360,2,FALSE))</f>
        <v>0.5931</v>
      </c>
      <c r="G74" s="11">
        <f>IFERROR(VLOOKUP($A73&amp;G$2&amp;$B74,Dados7030!$E$1:$F$360,2,FALSE), VLOOKUP($A73&amp;G$2&amp;$B74,Dados10Fold!$E$1:$F$360,2,FALSE))</f>
        <v>0.6129</v>
      </c>
      <c r="H74" s="11">
        <f>IFERROR(VLOOKUP($A73&amp;H$2&amp;$B74,Dados7030!$E$1:$F$360,2,FALSE), VLOOKUP($A73&amp;H$2&amp;$B74,Dados10Fold!$E$1:$F$360,2,FALSE))</f>
        <v>0.6114</v>
      </c>
      <c r="I74" s="11">
        <f>IFERROR(VLOOKUP($A73&amp;I$2&amp;$B74,Dados7030!$E$1:$F$360,2,FALSE), VLOOKUP($A73&amp;I$2&amp;$B74,Dados10Fold!$E$1:$F$360,2,FALSE))</f>
        <v>0.6194</v>
      </c>
      <c r="J74" s="11">
        <f>IFERROR(VLOOKUP($A73&amp;J$2&amp;$B74,Dados7030!$E$1:$F$360,2,FALSE), VLOOKUP($A73&amp;J$2&amp;$B74,Dados10Fold!$E$1:$F$360,2,FALSE))</f>
        <v>0.6199</v>
      </c>
      <c r="K74" s="11">
        <f>IFERROR(VLOOKUP($A73&amp;K$2&amp;$B74,Dados7030!$E$1:$F$360,2,FALSE), VLOOKUP($A73&amp;K$2&amp;$B74,Dados10Fold!$E$1:$F$360,2,FALSE))</f>
        <v>0.6274</v>
      </c>
      <c r="L74" s="11">
        <f>IFERROR(VLOOKUP($A73&amp;L$2&amp;$B74,Dados7030!$E$1:$F$360,2,FALSE), VLOOKUP($A73&amp;L$2&amp;$B74,Dados10Fold!$E$1:$F$360,2,FALSE))</f>
        <v>0.625</v>
      </c>
      <c r="M74" s="8"/>
    </row>
    <row r="75">
      <c r="A75" s="13" t="s">
        <v>52</v>
      </c>
      <c r="C75" s="5">
        <f t="shared" ref="C75:L75" si="1">MEDIAN(C3:C74)</f>
        <v>0.57395</v>
      </c>
      <c r="D75" s="5">
        <f t="shared" si="1"/>
        <v>0.5577</v>
      </c>
      <c r="E75" s="5">
        <f t="shared" si="1"/>
        <v>0.57775</v>
      </c>
      <c r="F75" s="5">
        <f t="shared" si="1"/>
        <v>0.57575</v>
      </c>
      <c r="G75" s="5">
        <f t="shared" si="1"/>
        <v>0.58655</v>
      </c>
      <c r="H75" s="5">
        <f t="shared" si="1"/>
        <v>0.5915</v>
      </c>
      <c r="I75" s="5">
        <f t="shared" si="1"/>
        <v>0.59135</v>
      </c>
      <c r="J75" s="5">
        <f t="shared" si="1"/>
        <v>0.5918</v>
      </c>
      <c r="K75" s="5">
        <f t="shared" si="1"/>
        <v>0.59335</v>
      </c>
      <c r="L75" s="5">
        <f t="shared" si="1"/>
        <v>0.5968</v>
      </c>
    </row>
    <row r="76">
      <c r="A76" s="13" t="s">
        <v>53</v>
      </c>
      <c r="C76" s="5">
        <f t="shared" ref="C76:L76" si="2">STDEV(C3:C74)</f>
        <v>0.04356007023</v>
      </c>
      <c r="D76" s="5">
        <f t="shared" si="2"/>
        <v>0.05325579029</v>
      </c>
      <c r="E76" s="5">
        <f t="shared" si="2"/>
        <v>0.05232106342</v>
      </c>
      <c r="F76" s="5">
        <f t="shared" si="2"/>
        <v>0.04951578349</v>
      </c>
      <c r="G76" s="5">
        <f t="shared" si="2"/>
        <v>0.06381282708</v>
      </c>
      <c r="H76" s="5">
        <f t="shared" si="2"/>
        <v>0.05581761603</v>
      </c>
      <c r="I76" s="5">
        <f t="shared" si="2"/>
        <v>0.07239482512</v>
      </c>
      <c r="J76" s="5">
        <f t="shared" si="2"/>
        <v>0.06361859612</v>
      </c>
      <c r="K76" s="5">
        <f t="shared" si="2"/>
        <v>0.07876549959</v>
      </c>
      <c r="L76" s="5">
        <f t="shared" si="2"/>
        <v>0.07109276176</v>
      </c>
    </row>
  </sheetData>
  <mergeCells count="58">
    <mergeCell ref="O3:O4"/>
    <mergeCell ref="O5:O6"/>
    <mergeCell ref="O7:O8"/>
    <mergeCell ref="O9:O10"/>
    <mergeCell ref="O11:O12"/>
    <mergeCell ref="O13:O14"/>
    <mergeCell ref="O15:O16"/>
    <mergeCell ref="O1:O2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A15:A16"/>
    <mergeCell ref="A17:A18"/>
    <mergeCell ref="A19:A20"/>
    <mergeCell ref="A21:A22"/>
    <mergeCell ref="A23:A24"/>
    <mergeCell ref="A25:A26"/>
    <mergeCell ref="A27:A28"/>
    <mergeCell ref="A31:A32"/>
    <mergeCell ref="A33:A34"/>
    <mergeCell ref="A35:A36"/>
    <mergeCell ref="A37:A38"/>
    <mergeCell ref="A39:A40"/>
    <mergeCell ref="A41:A42"/>
    <mergeCell ref="A29:A30"/>
    <mergeCell ref="A43:A44"/>
    <mergeCell ref="A45:A46"/>
    <mergeCell ref="A47:A48"/>
    <mergeCell ref="A49:A50"/>
    <mergeCell ref="A51:A52"/>
    <mergeCell ref="A53:A54"/>
    <mergeCell ref="A55:A56"/>
    <mergeCell ref="A71:A72"/>
    <mergeCell ref="A73:A74"/>
    <mergeCell ref="A75:B75"/>
    <mergeCell ref="A76:B76"/>
    <mergeCell ref="A1:A2"/>
    <mergeCell ref="B1:B2"/>
    <mergeCell ref="A57:A58"/>
    <mergeCell ref="A59:A60"/>
    <mergeCell ref="A61:A62"/>
    <mergeCell ref="A63:A64"/>
    <mergeCell ref="A65:A66"/>
    <mergeCell ref="A67:A68"/>
    <mergeCell ref="A69:A70"/>
    <mergeCell ref="C1:L1"/>
    <mergeCell ref="A3:A4"/>
    <mergeCell ref="A5:A6"/>
    <mergeCell ref="A7:A8"/>
    <mergeCell ref="A9:A10"/>
    <mergeCell ref="A11:A12"/>
    <mergeCell ref="A13:A14"/>
  </mergeCells>
  <conditionalFormatting sqref="M3:M73">
    <cfRule type="expression" dxfId="0" priority="1">
      <formula>M3&gt;=LARGE($M$3:$M$73, 16)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2.25"/>
  </cols>
  <sheetData>
    <row r="1">
      <c r="A1" s="2" t="s">
        <v>15</v>
      </c>
      <c r="B1" s="2" t="s">
        <v>14</v>
      </c>
      <c r="C1" s="2" t="s">
        <v>4</v>
      </c>
      <c r="D1" s="14">
        <v>5821.0</v>
      </c>
      <c r="E1" s="15" t="str">
        <f t="shared" ref="E1:E360" si="1">B1&amp;C1&amp;A1</f>
        <v>HOG_128_16x16.csvKnn170/30</v>
      </c>
      <c r="F1" s="15">
        <f t="shared" ref="F1:F360" si="2">DIVIDE(D1,10000)</f>
        <v>0.5821</v>
      </c>
    </row>
    <row r="2">
      <c r="A2" s="2" t="s">
        <v>15</v>
      </c>
      <c r="B2" s="2" t="s">
        <v>14</v>
      </c>
      <c r="C2" s="2" t="s">
        <v>5</v>
      </c>
      <c r="D2" s="14">
        <v>6258.0</v>
      </c>
      <c r="E2" s="15" t="str">
        <f t="shared" si="1"/>
        <v>HOG_128_16x16.csvKnn270/30</v>
      </c>
      <c r="F2" s="15">
        <f t="shared" si="2"/>
        <v>0.6258</v>
      </c>
    </row>
    <row r="3">
      <c r="A3" s="2" t="s">
        <v>15</v>
      </c>
      <c r="B3" s="2" t="s">
        <v>14</v>
      </c>
      <c r="C3" s="2" t="s">
        <v>6</v>
      </c>
      <c r="D3" s="14">
        <v>5479.0</v>
      </c>
      <c r="E3" s="15" t="str">
        <f t="shared" si="1"/>
        <v>HOG_128_16x16.csvKnn370/30</v>
      </c>
      <c r="F3" s="15">
        <f t="shared" si="2"/>
        <v>0.5479</v>
      </c>
    </row>
    <row r="4">
      <c r="A4" s="2" t="s">
        <v>15</v>
      </c>
      <c r="B4" s="2" t="s">
        <v>14</v>
      </c>
      <c r="C4" s="2" t="s">
        <v>7</v>
      </c>
      <c r="D4" s="14">
        <v>5978.0</v>
      </c>
      <c r="E4" s="15" t="str">
        <f t="shared" si="1"/>
        <v>HOG_128_16x16.csvKnn470/30</v>
      </c>
      <c r="F4" s="15">
        <f t="shared" si="2"/>
        <v>0.5978</v>
      </c>
    </row>
    <row r="5">
      <c r="A5" s="2" t="s">
        <v>15</v>
      </c>
      <c r="B5" s="2" t="s">
        <v>14</v>
      </c>
      <c r="C5" s="2" t="s">
        <v>8</v>
      </c>
      <c r="D5" s="14">
        <v>5420.0</v>
      </c>
      <c r="E5" s="15" t="str">
        <f t="shared" si="1"/>
        <v>HOG_128_16x16.csvKnn570/30</v>
      </c>
      <c r="F5" s="15">
        <f t="shared" si="2"/>
        <v>0.542</v>
      </c>
    </row>
    <row r="6">
      <c r="A6" s="2" t="s">
        <v>15</v>
      </c>
      <c r="B6" s="2" t="s">
        <v>14</v>
      </c>
      <c r="C6" s="2" t="s">
        <v>9</v>
      </c>
      <c r="D6" s="14">
        <v>5740.0</v>
      </c>
      <c r="E6" s="15" t="str">
        <f t="shared" si="1"/>
        <v>HOG_128_16x16.csvKnn670/30</v>
      </c>
      <c r="F6" s="15">
        <f t="shared" si="2"/>
        <v>0.574</v>
      </c>
    </row>
    <row r="7">
      <c r="A7" s="2" t="s">
        <v>15</v>
      </c>
      <c r="B7" s="2" t="s">
        <v>14</v>
      </c>
      <c r="C7" s="2" t="s">
        <v>10</v>
      </c>
      <c r="D7" s="14">
        <v>5133.0</v>
      </c>
      <c r="E7" s="15" t="str">
        <f t="shared" si="1"/>
        <v>HOG_128_16x16.csvKnn770/30</v>
      </c>
      <c r="F7" s="15">
        <f t="shared" si="2"/>
        <v>0.5133</v>
      </c>
    </row>
    <row r="8">
      <c r="A8" s="2" t="s">
        <v>15</v>
      </c>
      <c r="B8" s="2" t="s">
        <v>14</v>
      </c>
      <c r="C8" s="2" t="s">
        <v>11</v>
      </c>
      <c r="D8" s="14">
        <v>5530.0</v>
      </c>
      <c r="E8" s="15" t="str">
        <f t="shared" si="1"/>
        <v>HOG_128_16x16.csvKnn870/30</v>
      </c>
      <c r="F8" s="15">
        <f t="shared" si="2"/>
        <v>0.553</v>
      </c>
    </row>
    <row r="9">
      <c r="A9" s="2" t="s">
        <v>15</v>
      </c>
      <c r="B9" s="2" t="s">
        <v>14</v>
      </c>
      <c r="C9" s="2" t="s">
        <v>12</v>
      </c>
      <c r="D9" s="14">
        <v>5108.0</v>
      </c>
      <c r="E9" s="15" t="str">
        <f t="shared" si="1"/>
        <v>HOG_128_16x16.csvKnn970/30</v>
      </c>
      <c r="F9" s="15">
        <f t="shared" si="2"/>
        <v>0.5108</v>
      </c>
    </row>
    <row r="10">
      <c r="A10" s="2" t="s">
        <v>15</v>
      </c>
      <c r="B10" s="2" t="s">
        <v>14</v>
      </c>
      <c r="C10" s="2" t="s">
        <v>13</v>
      </c>
      <c r="D10" s="14">
        <v>5336.0</v>
      </c>
      <c r="E10" s="15" t="str">
        <f t="shared" si="1"/>
        <v>HOG_128_16x16.csvKnn1070/30</v>
      </c>
      <c r="F10" s="15">
        <f t="shared" si="2"/>
        <v>0.5336</v>
      </c>
    </row>
    <row r="11">
      <c r="A11" s="2" t="s">
        <v>15</v>
      </c>
      <c r="B11" s="2" t="s">
        <v>16</v>
      </c>
      <c r="C11" s="2" t="s">
        <v>4</v>
      </c>
      <c r="D11" s="14">
        <v>6202.0</v>
      </c>
      <c r="E11" s="15" t="str">
        <f t="shared" si="1"/>
        <v>HOG_128_16x16_PCA75.csvKnn170/30</v>
      </c>
      <c r="F11" s="15">
        <f t="shared" si="2"/>
        <v>0.6202</v>
      </c>
    </row>
    <row r="12">
      <c r="A12" s="2" t="s">
        <v>15</v>
      </c>
      <c r="B12" s="2" t="s">
        <v>16</v>
      </c>
      <c r="C12" s="2" t="s">
        <v>5</v>
      </c>
      <c r="D12" s="14">
        <v>6631.0</v>
      </c>
      <c r="E12" s="15" t="str">
        <f t="shared" si="1"/>
        <v>HOG_128_16x16_PCA75.csvKnn270/30</v>
      </c>
      <c r="F12" s="15">
        <f t="shared" si="2"/>
        <v>0.6631</v>
      </c>
    </row>
    <row r="13">
      <c r="A13" s="2" t="s">
        <v>15</v>
      </c>
      <c r="B13" s="2" t="s">
        <v>16</v>
      </c>
      <c r="C13" s="2" t="s">
        <v>6</v>
      </c>
      <c r="D13" s="14">
        <v>6126.0</v>
      </c>
      <c r="E13" s="15" t="str">
        <f t="shared" si="1"/>
        <v>HOG_128_16x16_PCA75.csvKnn370/30</v>
      </c>
      <c r="F13" s="15">
        <f t="shared" si="2"/>
        <v>0.6126</v>
      </c>
    </row>
    <row r="14">
      <c r="A14" s="2" t="s">
        <v>15</v>
      </c>
      <c r="B14" s="2" t="s">
        <v>16</v>
      </c>
      <c r="C14" s="2" t="s">
        <v>7</v>
      </c>
      <c r="D14" s="14">
        <v>6476.0</v>
      </c>
      <c r="E14" s="15" t="str">
        <f t="shared" si="1"/>
        <v>HOG_128_16x16_PCA75.csvKnn470/30</v>
      </c>
      <c r="F14" s="15">
        <f t="shared" si="2"/>
        <v>0.6476</v>
      </c>
    </row>
    <row r="15">
      <c r="A15" s="2" t="s">
        <v>15</v>
      </c>
      <c r="B15" s="2" t="s">
        <v>16</v>
      </c>
      <c r="C15" s="2" t="s">
        <v>8</v>
      </c>
      <c r="D15" s="14">
        <v>5922.0</v>
      </c>
      <c r="E15" s="15" t="str">
        <f t="shared" si="1"/>
        <v>HOG_128_16x16_PCA75.csvKnn570/30</v>
      </c>
      <c r="F15" s="15">
        <f t="shared" si="2"/>
        <v>0.5922</v>
      </c>
    </row>
    <row r="16">
      <c r="A16" s="2" t="s">
        <v>15</v>
      </c>
      <c r="B16" s="2" t="s">
        <v>16</v>
      </c>
      <c r="C16" s="2" t="s">
        <v>9</v>
      </c>
      <c r="D16" s="14">
        <v>6310.0</v>
      </c>
      <c r="E16" s="15" t="str">
        <f t="shared" si="1"/>
        <v>HOG_128_16x16_PCA75.csvKnn670/30</v>
      </c>
      <c r="F16" s="15">
        <f t="shared" si="2"/>
        <v>0.631</v>
      </c>
    </row>
    <row r="17">
      <c r="A17" s="2" t="s">
        <v>15</v>
      </c>
      <c r="B17" s="2" t="s">
        <v>16</v>
      </c>
      <c r="C17" s="2" t="s">
        <v>10</v>
      </c>
      <c r="D17" s="14">
        <v>5920.0</v>
      </c>
      <c r="E17" s="15" t="str">
        <f t="shared" si="1"/>
        <v>HOG_128_16x16_PCA75.csvKnn770/30</v>
      </c>
      <c r="F17" s="15">
        <f t="shared" si="2"/>
        <v>0.592</v>
      </c>
    </row>
    <row r="18">
      <c r="A18" s="2" t="s">
        <v>15</v>
      </c>
      <c r="B18" s="2" t="s">
        <v>16</v>
      </c>
      <c r="C18" s="2" t="s">
        <v>11</v>
      </c>
      <c r="D18" s="14">
        <v>6242.0</v>
      </c>
      <c r="E18" s="15" t="str">
        <f t="shared" si="1"/>
        <v>HOG_128_16x16_PCA75.csvKnn870/30</v>
      </c>
      <c r="F18" s="15">
        <f t="shared" si="2"/>
        <v>0.6242</v>
      </c>
    </row>
    <row r="19">
      <c r="A19" s="2" t="s">
        <v>15</v>
      </c>
      <c r="B19" s="2" t="s">
        <v>16</v>
      </c>
      <c r="C19" s="2" t="s">
        <v>12</v>
      </c>
      <c r="D19" s="14">
        <v>5719.0</v>
      </c>
      <c r="E19" s="15" t="str">
        <f t="shared" si="1"/>
        <v>HOG_128_16x16_PCA75.csvKnn970/30</v>
      </c>
      <c r="F19" s="15">
        <f t="shared" si="2"/>
        <v>0.5719</v>
      </c>
    </row>
    <row r="20">
      <c r="A20" s="2" t="s">
        <v>15</v>
      </c>
      <c r="B20" s="2" t="s">
        <v>16</v>
      </c>
      <c r="C20" s="2" t="s">
        <v>13</v>
      </c>
      <c r="D20" s="14">
        <v>5993.0</v>
      </c>
      <c r="E20" s="15" t="str">
        <f t="shared" si="1"/>
        <v>HOG_128_16x16_PCA75.csvKnn1070/30</v>
      </c>
      <c r="F20" s="15">
        <f t="shared" si="2"/>
        <v>0.5993</v>
      </c>
    </row>
    <row r="21">
      <c r="A21" s="2" t="s">
        <v>15</v>
      </c>
      <c r="B21" s="2" t="s">
        <v>19</v>
      </c>
      <c r="C21" s="2" t="s">
        <v>4</v>
      </c>
      <c r="D21" s="14">
        <v>5696.0</v>
      </c>
      <c r="E21" s="15" t="str">
        <f t="shared" si="1"/>
        <v>HOG_128_16x16_PCA90.csvKnn170/30</v>
      </c>
      <c r="F21" s="15">
        <f t="shared" si="2"/>
        <v>0.5696</v>
      </c>
    </row>
    <row r="22">
      <c r="A22" s="2" t="s">
        <v>15</v>
      </c>
      <c r="B22" s="2" t="s">
        <v>19</v>
      </c>
      <c r="C22" s="2" t="s">
        <v>5</v>
      </c>
      <c r="D22" s="14">
        <v>6255.0</v>
      </c>
      <c r="E22" s="15" t="str">
        <f t="shared" si="1"/>
        <v>HOG_128_16x16_PCA90.csvKnn270/30</v>
      </c>
      <c r="F22" s="15">
        <f t="shared" si="2"/>
        <v>0.6255</v>
      </c>
    </row>
    <row r="23">
      <c r="A23" s="2" t="s">
        <v>15</v>
      </c>
      <c r="B23" s="2" t="s">
        <v>19</v>
      </c>
      <c r="C23" s="2" t="s">
        <v>6</v>
      </c>
      <c r="D23" s="14">
        <v>5657.0</v>
      </c>
      <c r="E23" s="15" t="str">
        <f t="shared" si="1"/>
        <v>HOG_128_16x16_PCA90.csvKnn370/30</v>
      </c>
      <c r="F23" s="15">
        <f t="shared" si="2"/>
        <v>0.5657</v>
      </c>
    </row>
    <row r="24">
      <c r="A24" s="2" t="s">
        <v>15</v>
      </c>
      <c r="B24" s="2" t="s">
        <v>19</v>
      </c>
      <c r="C24" s="2" t="s">
        <v>7</v>
      </c>
      <c r="D24" s="14">
        <v>6132.0</v>
      </c>
      <c r="E24" s="15" t="str">
        <f t="shared" si="1"/>
        <v>HOG_128_16x16_PCA90.csvKnn470/30</v>
      </c>
      <c r="F24" s="15">
        <f t="shared" si="2"/>
        <v>0.6132</v>
      </c>
    </row>
    <row r="25">
      <c r="A25" s="2" t="s">
        <v>15</v>
      </c>
      <c r="B25" s="2" t="s">
        <v>19</v>
      </c>
      <c r="C25" s="2" t="s">
        <v>8</v>
      </c>
      <c r="D25" s="14">
        <v>5533.0</v>
      </c>
      <c r="E25" s="15" t="str">
        <f t="shared" si="1"/>
        <v>HOG_128_16x16_PCA90.csvKnn570/30</v>
      </c>
      <c r="F25" s="15">
        <f t="shared" si="2"/>
        <v>0.5533</v>
      </c>
    </row>
    <row r="26">
      <c r="A26" s="2" t="s">
        <v>15</v>
      </c>
      <c r="B26" s="2" t="s">
        <v>19</v>
      </c>
      <c r="C26" s="2" t="s">
        <v>9</v>
      </c>
      <c r="D26" s="14">
        <v>5941.0</v>
      </c>
      <c r="E26" s="15" t="str">
        <f t="shared" si="1"/>
        <v>HOG_128_16x16_PCA90.csvKnn670/30</v>
      </c>
      <c r="F26" s="15">
        <f t="shared" si="2"/>
        <v>0.5941</v>
      </c>
    </row>
    <row r="27">
      <c r="A27" s="2" t="s">
        <v>15</v>
      </c>
      <c r="B27" s="2" t="s">
        <v>19</v>
      </c>
      <c r="C27" s="2" t="s">
        <v>10</v>
      </c>
      <c r="D27" s="14">
        <v>5405.0</v>
      </c>
      <c r="E27" s="15" t="str">
        <f t="shared" si="1"/>
        <v>HOG_128_16x16_PCA90.csvKnn770/30</v>
      </c>
      <c r="F27" s="15">
        <f t="shared" si="2"/>
        <v>0.5405</v>
      </c>
    </row>
    <row r="28">
      <c r="A28" s="2" t="s">
        <v>15</v>
      </c>
      <c r="B28" s="2" t="s">
        <v>19</v>
      </c>
      <c r="C28" s="2" t="s">
        <v>11</v>
      </c>
      <c r="D28" s="14">
        <v>5922.0</v>
      </c>
      <c r="E28" s="15" t="str">
        <f t="shared" si="1"/>
        <v>HOG_128_16x16_PCA90.csvKnn870/30</v>
      </c>
      <c r="F28" s="15">
        <f t="shared" si="2"/>
        <v>0.5922</v>
      </c>
    </row>
    <row r="29">
      <c r="A29" s="2" t="s">
        <v>15</v>
      </c>
      <c r="B29" s="2" t="s">
        <v>19</v>
      </c>
      <c r="C29" s="2" t="s">
        <v>12</v>
      </c>
      <c r="D29" s="14">
        <v>5307.0</v>
      </c>
      <c r="E29" s="15" t="str">
        <f t="shared" si="1"/>
        <v>HOG_128_16x16_PCA90.csvKnn970/30</v>
      </c>
      <c r="F29" s="15">
        <f t="shared" si="2"/>
        <v>0.5307</v>
      </c>
    </row>
    <row r="30">
      <c r="A30" s="2" t="s">
        <v>15</v>
      </c>
      <c r="B30" s="2" t="s">
        <v>19</v>
      </c>
      <c r="C30" s="2" t="s">
        <v>13</v>
      </c>
      <c r="D30" s="14">
        <v>5694.0</v>
      </c>
      <c r="E30" s="15" t="str">
        <f t="shared" si="1"/>
        <v>HOG_128_16x16_PCA90.csvKnn1070/30</v>
      </c>
      <c r="F30" s="15">
        <f t="shared" si="2"/>
        <v>0.5694</v>
      </c>
    </row>
    <row r="31">
      <c r="A31" s="2" t="s">
        <v>15</v>
      </c>
      <c r="B31" s="2" t="s">
        <v>18</v>
      </c>
      <c r="C31" s="2" t="s">
        <v>4</v>
      </c>
      <c r="D31" s="14">
        <v>6448.0</v>
      </c>
      <c r="E31" s="15" t="str">
        <f t="shared" si="1"/>
        <v>HOG_128_32x32.csvKnn170/30</v>
      </c>
      <c r="F31" s="15">
        <f t="shared" si="2"/>
        <v>0.6448</v>
      </c>
    </row>
    <row r="32">
      <c r="A32" s="2" t="s">
        <v>15</v>
      </c>
      <c r="B32" s="2" t="s">
        <v>18</v>
      </c>
      <c r="C32" s="2" t="s">
        <v>5</v>
      </c>
      <c r="D32" s="14">
        <v>6636.0</v>
      </c>
      <c r="E32" s="15" t="str">
        <f t="shared" si="1"/>
        <v>HOG_128_32x32.csvKnn270/30</v>
      </c>
      <c r="F32" s="15">
        <f t="shared" si="2"/>
        <v>0.6636</v>
      </c>
    </row>
    <row r="33">
      <c r="A33" s="2" t="s">
        <v>15</v>
      </c>
      <c r="B33" s="2" t="s">
        <v>18</v>
      </c>
      <c r="C33" s="2" t="s">
        <v>6</v>
      </c>
      <c r="D33" s="14">
        <v>6268.0</v>
      </c>
      <c r="E33" s="15" t="str">
        <f t="shared" si="1"/>
        <v>HOG_128_32x32.csvKnn370/30</v>
      </c>
      <c r="F33" s="15">
        <f t="shared" si="2"/>
        <v>0.6268</v>
      </c>
    </row>
    <row r="34">
      <c r="A34" s="2" t="s">
        <v>15</v>
      </c>
      <c r="B34" s="2" t="s">
        <v>18</v>
      </c>
      <c r="C34" s="2" t="s">
        <v>7</v>
      </c>
      <c r="D34" s="14">
        <v>6673.0</v>
      </c>
      <c r="E34" s="15" t="str">
        <f t="shared" si="1"/>
        <v>HOG_128_32x32.csvKnn470/30</v>
      </c>
      <c r="F34" s="15">
        <f t="shared" si="2"/>
        <v>0.6673</v>
      </c>
    </row>
    <row r="35">
      <c r="A35" s="2" t="s">
        <v>15</v>
      </c>
      <c r="B35" s="2" t="s">
        <v>18</v>
      </c>
      <c r="C35" s="2" t="s">
        <v>8</v>
      </c>
      <c r="D35" s="14">
        <v>6236.0</v>
      </c>
      <c r="E35" s="15" t="str">
        <f t="shared" si="1"/>
        <v>HOG_128_32x32.csvKnn570/30</v>
      </c>
      <c r="F35" s="15">
        <f t="shared" si="2"/>
        <v>0.6236</v>
      </c>
    </row>
    <row r="36">
      <c r="A36" s="2" t="s">
        <v>15</v>
      </c>
      <c r="B36" s="2" t="s">
        <v>18</v>
      </c>
      <c r="C36" s="2" t="s">
        <v>9</v>
      </c>
      <c r="D36" s="14">
        <v>6634.0</v>
      </c>
      <c r="E36" s="15" t="str">
        <f t="shared" si="1"/>
        <v>HOG_128_32x32.csvKnn670/30</v>
      </c>
      <c r="F36" s="15">
        <f t="shared" si="2"/>
        <v>0.6634</v>
      </c>
    </row>
    <row r="37">
      <c r="A37" s="2" t="s">
        <v>15</v>
      </c>
      <c r="B37" s="2" t="s">
        <v>18</v>
      </c>
      <c r="C37" s="2" t="s">
        <v>10</v>
      </c>
      <c r="D37" s="14">
        <v>6186.0</v>
      </c>
      <c r="E37" s="15" t="str">
        <f t="shared" si="1"/>
        <v>HOG_128_32x32.csvKnn770/30</v>
      </c>
      <c r="F37" s="15">
        <f t="shared" si="2"/>
        <v>0.6186</v>
      </c>
    </row>
    <row r="38">
      <c r="A38" s="2" t="s">
        <v>15</v>
      </c>
      <c r="B38" s="2" t="s">
        <v>18</v>
      </c>
      <c r="C38" s="2" t="s">
        <v>11</v>
      </c>
      <c r="D38" s="14">
        <v>6569.0</v>
      </c>
      <c r="E38" s="15" t="str">
        <f t="shared" si="1"/>
        <v>HOG_128_32x32.csvKnn870/30</v>
      </c>
      <c r="F38" s="15">
        <f t="shared" si="2"/>
        <v>0.6569</v>
      </c>
    </row>
    <row r="39">
      <c r="A39" s="2" t="s">
        <v>15</v>
      </c>
      <c r="B39" s="2" t="s">
        <v>18</v>
      </c>
      <c r="C39" s="2" t="s">
        <v>12</v>
      </c>
      <c r="D39" s="14">
        <v>6102.0</v>
      </c>
      <c r="E39" s="15" t="str">
        <f t="shared" si="1"/>
        <v>HOG_128_32x32.csvKnn970/30</v>
      </c>
      <c r="F39" s="15">
        <f t="shared" si="2"/>
        <v>0.6102</v>
      </c>
    </row>
    <row r="40">
      <c r="A40" s="2" t="s">
        <v>15</v>
      </c>
      <c r="B40" s="2" t="s">
        <v>18</v>
      </c>
      <c r="C40" s="2" t="s">
        <v>13</v>
      </c>
      <c r="D40" s="14">
        <v>6434.0</v>
      </c>
      <c r="E40" s="15" t="str">
        <f t="shared" si="1"/>
        <v>HOG_128_32x32.csvKnn1070/30</v>
      </c>
      <c r="F40" s="15">
        <f t="shared" si="2"/>
        <v>0.6434</v>
      </c>
    </row>
    <row r="41">
      <c r="A41" s="2" t="s">
        <v>15</v>
      </c>
      <c r="B41" s="2" t="s">
        <v>20</v>
      </c>
      <c r="C41" s="2" t="s">
        <v>4</v>
      </c>
      <c r="D41" s="14">
        <v>6502.0</v>
      </c>
      <c r="E41" s="15" t="str">
        <f t="shared" si="1"/>
        <v>HOG_128_32x32_PCA75.csvKnn170/30</v>
      </c>
      <c r="F41" s="15">
        <f t="shared" si="2"/>
        <v>0.6502</v>
      </c>
    </row>
    <row r="42">
      <c r="A42" s="2" t="s">
        <v>15</v>
      </c>
      <c r="B42" s="2" t="s">
        <v>20</v>
      </c>
      <c r="C42" s="2" t="s">
        <v>5</v>
      </c>
      <c r="D42" s="14">
        <v>6771.0</v>
      </c>
      <c r="E42" s="15" t="str">
        <f t="shared" si="1"/>
        <v>HOG_128_32x32_PCA75.csvKnn270/30</v>
      </c>
      <c r="F42" s="15">
        <f t="shared" si="2"/>
        <v>0.6771</v>
      </c>
    </row>
    <row r="43">
      <c r="A43" s="2" t="s">
        <v>15</v>
      </c>
      <c r="B43" s="2" t="s">
        <v>20</v>
      </c>
      <c r="C43" s="2" t="s">
        <v>6</v>
      </c>
      <c r="D43" s="14">
        <v>6666.0</v>
      </c>
      <c r="E43" s="15" t="str">
        <f t="shared" si="1"/>
        <v>HOG_128_32x32_PCA75.csvKnn370/30</v>
      </c>
      <c r="F43" s="15">
        <f t="shared" si="2"/>
        <v>0.6666</v>
      </c>
    </row>
    <row r="44">
      <c r="A44" s="2" t="s">
        <v>15</v>
      </c>
      <c r="B44" s="2" t="s">
        <v>20</v>
      </c>
      <c r="C44" s="2" t="s">
        <v>7</v>
      </c>
      <c r="D44" s="14">
        <v>6942.0</v>
      </c>
      <c r="E44" s="15" t="str">
        <f t="shared" si="1"/>
        <v>HOG_128_32x32_PCA75.csvKnn470/30</v>
      </c>
      <c r="F44" s="15">
        <f t="shared" si="2"/>
        <v>0.6942</v>
      </c>
    </row>
    <row r="45">
      <c r="A45" s="2" t="s">
        <v>15</v>
      </c>
      <c r="B45" s="2" t="s">
        <v>20</v>
      </c>
      <c r="C45" s="2" t="s">
        <v>8</v>
      </c>
      <c r="D45" s="14">
        <v>6751.0</v>
      </c>
      <c r="E45" s="15" t="str">
        <f t="shared" si="1"/>
        <v>HOG_128_32x32_PCA75.csvKnn570/30</v>
      </c>
      <c r="F45" s="15">
        <f t="shared" si="2"/>
        <v>0.6751</v>
      </c>
    </row>
    <row r="46">
      <c r="A46" s="2" t="s">
        <v>15</v>
      </c>
      <c r="B46" s="2" t="s">
        <v>20</v>
      </c>
      <c r="C46" s="2" t="s">
        <v>9</v>
      </c>
      <c r="D46" s="14">
        <v>7032.0</v>
      </c>
      <c r="E46" s="15" t="str">
        <f t="shared" si="1"/>
        <v>HOG_128_32x32_PCA75.csvKnn670/30</v>
      </c>
      <c r="F46" s="15">
        <f t="shared" si="2"/>
        <v>0.7032</v>
      </c>
    </row>
    <row r="47">
      <c r="A47" s="2" t="s">
        <v>15</v>
      </c>
      <c r="B47" s="2" t="s">
        <v>20</v>
      </c>
      <c r="C47" s="2" t="s">
        <v>10</v>
      </c>
      <c r="D47" s="14">
        <v>6776.0</v>
      </c>
      <c r="E47" s="15" t="str">
        <f t="shared" si="1"/>
        <v>HOG_128_32x32_PCA75.csvKnn770/30</v>
      </c>
      <c r="F47" s="15">
        <f t="shared" si="2"/>
        <v>0.6776</v>
      </c>
    </row>
    <row r="48">
      <c r="A48" s="2" t="s">
        <v>15</v>
      </c>
      <c r="B48" s="2" t="s">
        <v>20</v>
      </c>
      <c r="C48" s="2" t="s">
        <v>11</v>
      </c>
      <c r="D48" s="14">
        <v>7051.0</v>
      </c>
      <c r="E48" s="15" t="str">
        <f t="shared" si="1"/>
        <v>HOG_128_32x32_PCA75.csvKnn870/30</v>
      </c>
      <c r="F48" s="15">
        <f t="shared" si="2"/>
        <v>0.7051</v>
      </c>
    </row>
    <row r="49">
      <c r="A49" s="2" t="s">
        <v>15</v>
      </c>
      <c r="B49" s="2" t="s">
        <v>20</v>
      </c>
      <c r="C49" s="2" t="s">
        <v>12</v>
      </c>
      <c r="D49" s="14">
        <v>6792.0</v>
      </c>
      <c r="E49" s="15" t="str">
        <f t="shared" si="1"/>
        <v>HOG_128_32x32_PCA75.csvKnn970/30</v>
      </c>
      <c r="F49" s="15">
        <f t="shared" si="2"/>
        <v>0.6792</v>
      </c>
    </row>
    <row r="50">
      <c r="A50" s="2" t="s">
        <v>15</v>
      </c>
      <c r="B50" s="2" t="s">
        <v>20</v>
      </c>
      <c r="C50" s="2" t="s">
        <v>13</v>
      </c>
      <c r="D50" s="14">
        <v>7029.0</v>
      </c>
      <c r="E50" s="15" t="str">
        <f t="shared" si="1"/>
        <v>HOG_128_32x32_PCA75.csvKnn1070/30</v>
      </c>
      <c r="F50" s="15">
        <f t="shared" si="2"/>
        <v>0.7029</v>
      </c>
    </row>
    <row r="51">
      <c r="A51" s="2" t="s">
        <v>15</v>
      </c>
      <c r="B51" s="2" t="s">
        <v>21</v>
      </c>
      <c r="C51" s="2" t="s">
        <v>4</v>
      </c>
      <c r="D51" s="14">
        <v>6505.0</v>
      </c>
      <c r="E51" s="15" t="str">
        <f t="shared" si="1"/>
        <v>HOG_128_32x32_PCA90.csvKnn170/30</v>
      </c>
      <c r="F51" s="15">
        <f t="shared" si="2"/>
        <v>0.6505</v>
      </c>
    </row>
    <row r="52">
      <c r="A52" s="2" t="s">
        <v>15</v>
      </c>
      <c r="B52" s="2" t="s">
        <v>21</v>
      </c>
      <c r="C52" s="2" t="s">
        <v>5</v>
      </c>
      <c r="D52" s="14">
        <v>6782.0</v>
      </c>
      <c r="E52" s="15" t="str">
        <f t="shared" si="1"/>
        <v>HOG_128_32x32_PCA90.csvKnn270/30</v>
      </c>
      <c r="F52" s="15">
        <f t="shared" si="2"/>
        <v>0.6782</v>
      </c>
    </row>
    <row r="53">
      <c r="A53" s="2" t="s">
        <v>15</v>
      </c>
      <c r="B53" s="2" t="s">
        <v>21</v>
      </c>
      <c r="C53" s="2" t="s">
        <v>6</v>
      </c>
      <c r="D53" s="14">
        <v>6655.0</v>
      </c>
      <c r="E53" s="15" t="str">
        <f t="shared" si="1"/>
        <v>HOG_128_32x32_PCA90.csvKnn370/30</v>
      </c>
      <c r="F53" s="15">
        <f t="shared" si="2"/>
        <v>0.6655</v>
      </c>
    </row>
    <row r="54">
      <c r="A54" s="2" t="s">
        <v>15</v>
      </c>
      <c r="B54" s="2" t="s">
        <v>21</v>
      </c>
      <c r="C54" s="2" t="s">
        <v>7</v>
      </c>
      <c r="D54" s="14">
        <v>7000.0</v>
      </c>
      <c r="E54" s="15" t="str">
        <f t="shared" si="1"/>
        <v>HOG_128_32x32_PCA90.csvKnn470/30</v>
      </c>
      <c r="F54" s="15">
        <f t="shared" si="2"/>
        <v>0.7</v>
      </c>
    </row>
    <row r="55">
      <c r="A55" s="2" t="s">
        <v>15</v>
      </c>
      <c r="B55" s="2" t="s">
        <v>21</v>
      </c>
      <c r="C55" s="2" t="s">
        <v>8</v>
      </c>
      <c r="D55" s="14">
        <v>6604.0</v>
      </c>
      <c r="E55" s="15" t="str">
        <f t="shared" si="1"/>
        <v>HOG_128_32x32_PCA90.csvKnn570/30</v>
      </c>
      <c r="F55" s="15">
        <f t="shared" si="2"/>
        <v>0.6604</v>
      </c>
    </row>
    <row r="56">
      <c r="A56" s="2" t="s">
        <v>15</v>
      </c>
      <c r="B56" s="2" t="s">
        <v>21</v>
      </c>
      <c r="C56" s="2" t="s">
        <v>9</v>
      </c>
      <c r="D56" s="14">
        <v>6937.0</v>
      </c>
      <c r="E56" s="15" t="str">
        <f t="shared" si="1"/>
        <v>HOG_128_32x32_PCA90.csvKnn670/30</v>
      </c>
      <c r="F56" s="15">
        <f t="shared" si="2"/>
        <v>0.6937</v>
      </c>
    </row>
    <row r="57">
      <c r="A57" s="2" t="s">
        <v>15</v>
      </c>
      <c r="B57" s="2" t="s">
        <v>21</v>
      </c>
      <c r="C57" s="2" t="s">
        <v>10</v>
      </c>
      <c r="D57" s="14">
        <v>6498.0</v>
      </c>
      <c r="E57" s="15" t="str">
        <f t="shared" si="1"/>
        <v>HOG_128_32x32_PCA90.csvKnn770/30</v>
      </c>
      <c r="F57" s="15">
        <f t="shared" si="2"/>
        <v>0.6498</v>
      </c>
    </row>
    <row r="58">
      <c r="A58" s="2" t="s">
        <v>15</v>
      </c>
      <c r="B58" s="2" t="s">
        <v>21</v>
      </c>
      <c r="C58" s="2" t="s">
        <v>11</v>
      </c>
      <c r="D58" s="14">
        <v>6934.0</v>
      </c>
      <c r="E58" s="15" t="str">
        <f t="shared" si="1"/>
        <v>HOG_128_32x32_PCA90.csvKnn870/30</v>
      </c>
      <c r="F58" s="15">
        <f t="shared" si="2"/>
        <v>0.6934</v>
      </c>
    </row>
    <row r="59">
      <c r="A59" s="2" t="s">
        <v>15</v>
      </c>
      <c r="B59" s="2" t="s">
        <v>21</v>
      </c>
      <c r="C59" s="2" t="s">
        <v>12</v>
      </c>
      <c r="D59" s="14">
        <v>6478.0</v>
      </c>
      <c r="E59" s="15" t="str">
        <f t="shared" si="1"/>
        <v>HOG_128_32x32_PCA90.csvKnn970/30</v>
      </c>
      <c r="F59" s="15">
        <f t="shared" si="2"/>
        <v>0.6478</v>
      </c>
    </row>
    <row r="60">
      <c r="A60" s="2" t="s">
        <v>15</v>
      </c>
      <c r="B60" s="2" t="s">
        <v>21</v>
      </c>
      <c r="C60" s="2" t="s">
        <v>13</v>
      </c>
      <c r="D60" s="14">
        <v>6792.0</v>
      </c>
      <c r="E60" s="15" t="str">
        <f t="shared" si="1"/>
        <v>HOG_128_32x32_PCA90.csvKnn1070/30</v>
      </c>
      <c r="F60" s="15">
        <f t="shared" si="2"/>
        <v>0.6792</v>
      </c>
    </row>
    <row r="61">
      <c r="A61" s="2" t="s">
        <v>15</v>
      </c>
      <c r="B61" s="2" t="s">
        <v>24</v>
      </c>
      <c r="C61" s="2" t="s">
        <v>4</v>
      </c>
      <c r="D61" s="14">
        <v>5236.0</v>
      </c>
      <c r="E61" s="15" t="str">
        <f t="shared" si="1"/>
        <v>HOG_128_8x8.csvKnn170/30</v>
      </c>
      <c r="F61" s="15">
        <f t="shared" si="2"/>
        <v>0.5236</v>
      </c>
    </row>
    <row r="62">
      <c r="A62" s="2" t="s">
        <v>15</v>
      </c>
      <c r="B62" s="2" t="s">
        <v>24</v>
      </c>
      <c r="C62" s="2" t="s">
        <v>5</v>
      </c>
      <c r="D62" s="14">
        <v>5574.0</v>
      </c>
      <c r="E62" s="15" t="str">
        <f t="shared" si="1"/>
        <v>HOG_128_8x8.csvKnn270/30</v>
      </c>
      <c r="F62" s="15">
        <f t="shared" si="2"/>
        <v>0.5574</v>
      </c>
    </row>
    <row r="63">
      <c r="A63" s="2" t="s">
        <v>15</v>
      </c>
      <c r="B63" s="2" t="s">
        <v>24</v>
      </c>
      <c r="C63" s="2" t="s">
        <v>6</v>
      </c>
      <c r="D63" s="14">
        <v>4975.0</v>
      </c>
      <c r="E63" s="15" t="str">
        <f t="shared" si="1"/>
        <v>HOG_128_8x8.csvKnn370/30</v>
      </c>
      <c r="F63" s="15">
        <f t="shared" si="2"/>
        <v>0.4975</v>
      </c>
    </row>
    <row r="64">
      <c r="A64" s="2" t="s">
        <v>15</v>
      </c>
      <c r="B64" s="2" t="s">
        <v>24</v>
      </c>
      <c r="C64" s="2" t="s">
        <v>7</v>
      </c>
      <c r="D64" s="14">
        <v>5514.0</v>
      </c>
      <c r="E64" s="15" t="str">
        <f t="shared" si="1"/>
        <v>HOG_128_8x8.csvKnn470/30</v>
      </c>
      <c r="F64" s="15">
        <f t="shared" si="2"/>
        <v>0.5514</v>
      </c>
    </row>
    <row r="65">
      <c r="A65" s="2" t="s">
        <v>15</v>
      </c>
      <c r="B65" s="2" t="s">
        <v>24</v>
      </c>
      <c r="C65" s="2" t="s">
        <v>8</v>
      </c>
      <c r="D65" s="14">
        <v>4580.0</v>
      </c>
      <c r="E65" s="15" t="str">
        <f t="shared" si="1"/>
        <v>HOG_128_8x8.csvKnn570/30</v>
      </c>
      <c r="F65" s="15">
        <f t="shared" si="2"/>
        <v>0.458</v>
      </c>
    </row>
    <row r="66">
      <c r="A66" s="2" t="s">
        <v>15</v>
      </c>
      <c r="B66" s="2" t="s">
        <v>24</v>
      </c>
      <c r="C66" s="2" t="s">
        <v>9</v>
      </c>
      <c r="D66" s="14">
        <v>5115.0</v>
      </c>
      <c r="E66" s="15" t="str">
        <f t="shared" si="1"/>
        <v>HOG_128_8x8.csvKnn670/30</v>
      </c>
      <c r="F66" s="15">
        <f t="shared" si="2"/>
        <v>0.5115</v>
      </c>
    </row>
    <row r="67">
      <c r="A67" s="2" t="s">
        <v>15</v>
      </c>
      <c r="B67" s="2" t="s">
        <v>24</v>
      </c>
      <c r="C67" s="2" t="s">
        <v>10</v>
      </c>
      <c r="D67" s="14">
        <v>4445.0</v>
      </c>
      <c r="E67" s="15" t="str">
        <f t="shared" si="1"/>
        <v>HOG_128_8x8.csvKnn770/30</v>
      </c>
      <c r="F67" s="15">
        <f t="shared" si="2"/>
        <v>0.4445</v>
      </c>
    </row>
    <row r="68">
      <c r="A68" s="2" t="s">
        <v>15</v>
      </c>
      <c r="B68" s="2" t="s">
        <v>24</v>
      </c>
      <c r="C68" s="2" t="s">
        <v>11</v>
      </c>
      <c r="D68" s="14">
        <v>4805.0</v>
      </c>
      <c r="E68" s="15" t="str">
        <f t="shared" si="1"/>
        <v>HOG_128_8x8.csvKnn870/30</v>
      </c>
      <c r="F68" s="15">
        <f t="shared" si="2"/>
        <v>0.4805</v>
      </c>
    </row>
    <row r="69">
      <c r="A69" s="2" t="s">
        <v>15</v>
      </c>
      <c r="B69" s="2" t="s">
        <v>24</v>
      </c>
      <c r="C69" s="2" t="s">
        <v>12</v>
      </c>
      <c r="D69" s="14">
        <v>4246.0</v>
      </c>
      <c r="E69" s="15" t="str">
        <f t="shared" si="1"/>
        <v>HOG_128_8x8.csvKnn970/30</v>
      </c>
      <c r="F69" s="15">
        <f t="shared" si="2"/>
        <v>0.4246</v>
      </c>
    </row>
    <row r="70">
      <c r="A70" s="2" t="s">
        <v>15</v>
      </c>
      <c r="B70" s="2" t="s">
        <v>24</v>
      </c>
      <c r="C70" s="2" t="s">
        <v>13</v>
      </c>
      <c r="D70" s="14">
        <v>4683.0</v>
      </c>
      <c r="E70" s="15" t="str">
        <f t="shared" si="1"/>
        <v>HOG_128_8x8.csvKnn1070/30</v>
      </c>
      <c r="F70" s="15">
        <f t="shared" si="2"/>
        <v>0.4683</v>
      </c>
    </row>
    <row r="71">
      <c r="A71" s="2" t="s">
        <v>15</v>
      </c>
      <c r="B71" s="2" t="s">
        <v>26</v>
      </c>
      <c r="C71" s="2" t="s">
        <v>4</v>
      </c>
      <c r="D71" s="14">
        <v>5281.0</v>
      </c>
      <c r="E71" s="15" t="str">
        <f t="shared" si="1"/>
        <v>HOG_128_8x8_PCA75.csvKnn170/30</v>
      </c>
      <c r="F71" s="15">
        <f t="shared" si="2"/>
        <v>0.5281</v>
      </c>
    </row>
    <row r="72">
      <c r="A72" s="2" t="s">
        <v>15</v>
      </c>
      <c r="B72" s="2" t="s">
        <v>26</v>
      </c>
      <c r="C72" s="2" t="s">
        <v>5</v>
      </c>
      <c r="D72" s="14">
        <v>5668.0</v>
      </c>
      <c r="E72" s="15" t="str">
        <f t="shared" si="1"/>
        <v>HOG_128_8x8_PCA75.csvKnn270/30</v>
      </c>
      <c r="F72" s="15">
        <f t="shared" si="2"/>
        <v>0.5668</v>
      </c>
    </row>
    <row r="73">
      <c r="A73" s="2" t="s">
        <v>15</v>
      </c>
      <c r="B73" s="2" t="s">
        <v>26</v>
      </c>
      <c r="C73" s="2" t="s">
        <v>6</v>
      </c>
      <c r="D73" s="14">
        <v>4944.0</v>
      </c>
      <c r="E73" s="15" t="str">
        <f t="shared" si="1"/>
        <v>HOG_128_8x8_PCA75.csvKnn370/30</v>
      </c>
      <c r="F73" s="15">
        <f t="shared" si="2"/>
        <v>0.4944</v>
      </c>
    </row>
    <row r="74">
      <c r="A74" s="2" t="s">
        <v>15</v>
      </c>
      <c r="B74" s="2" t="s">
        <v>26</v>
      </c>
      <c r="C74" s="2" t="s">
        <v>7</v>
      </c>
      <c r="D74" s="14">
        <v>5264.0</v>
      </c>
      <c r="E74" s="15" t="str">
        <f t="shared" si="1"/>
        <v>HOG_128_8x8_PCA75.csvKnn470/30</v>
      </c>
      <c r="F74" s="15">
        <f t="shared" si="2"/>
        <v>0.5264</v>
      </c>
    </row>
    <row r="75">
      <c r="A75" s="2" t="s">
        <v>15</v>
      </c>
      <c r="B75" s="2" t="s">
        <v>26</v>
      </c>
      <c r="C75" s="2" t="s">
        <v>8</v>
      </c>
      <c r="D75" s="14">
        <v>4646.0</v>
      </c>
      <c r="E75" s="15" t="str">
        <f t="shared" si="1"/>
        <v>HOG_128_8x8_PCA75.csvKnn570/30</v>
      </c>
      <c r="F75" s="15">
        <f t="shared" si="2"/>
        <v>0.4646</v>
      </c>
    </row>
    <row r="76">
      <c r="A76" s="2" t="s">
        <v>15</v>
      </c>
      <c r="B76" s="2" t="s">
        <v>26</v>
      </c>
      <c r="C76" s="2" t="s">
        <v>9</v>
      </c>
      <c r="D76" s="14">
        <v>5157.0</v>
      </c>
      <c r="E76" s="15" t="str">
        <f t="shared" si="1"/>
        <v>HOG_128_8x8_PCA75.csvKnn670/30</v>
      </c>
      <c r="F76" s="15">
        <f t="shared" si="2"/>
        <v>0.5157</v>
      </c>
    </row>
    <row r="77">
      <c r="A77" s="2" t="s">
        <v>15</v>
      </c>
      <c r="B77" s="2" t="s">
        <v>26</v>
      </c>
      <c r="C77" s="2" t="s">
        <v>10</v>
      </c>
      <c r="D77" s="14">
        <v>4580.0</v>
      </c>
      <c r="E77" s="15" t="str">
        <f t="shared" si="1"/>
        <v>HOG_128_8x8_PCA75.csvKnn770/30</v>
      </c>
      <c r="F77" s="15">
        <f t="shared" si="2"/>
        <v>0.458</v>
      </c>
    </row>
    <row r="78">
      <c r="A78" s="2" t="s">
        <v>15</v>
      </c>
      <c r="B78" s="2" t="s">
        <v>26</v>
      </c>
      <c r="C78" s="2" t="s">
        <v>11</v>
      </c>
      <c r="D78" s="14">
        <v>4796.0</v>
      </c>
      <c r="E78" s="15" t="str">
        <f t="shared" si="1"/>
        <v>HOG_128_8x8_PCA75.csvKnn870/30</v>
      </c>
      <c r="F78" s="15">
        <f t="shared" si="2"/>
        <v>0.4796</v>
      </c>
    </row>
    <row r="79">
      <c r="A79" s="2" t="s">
        <v>15</v>
      </c>
      <c r="B79" s="2" t="s">
        <v>26</v>
      </c>
      <c r="C79" s="2" t="s">
        <v>12</v>
      </c>
      <c r="D79" s="14">
        <v>4272.0</v>
      </c>
      <c r="E79" s="15" t="str">
        <f t="shared" si="1"/>
        <v>HOG_128_8x8_PCA75.csvKnn970/30</v>
      </c>
      <c r="F79" s="15">
        <f t="shared" si="2"/>
        <v>0.4272</v>
      </c>
    </row>
    <row r="80">
      <c r="A80" s="2" t="s">
        <v>15</v>
      </c>
      <c r="B80" s="2" t="s">
        <v>26</v>
      </c>
      <c r="C80" s="2" t="s">
        <v>13</v>
      </c>
      <c r="D80" s="14">
        <v>4636.0</v>
      </c>
      <c r="E80" s="15" t="str">
        <f t="shared" si="1"/>
        <v>HOG_128_8x8_PCA75.csvKnn1070/30</v>
      </c>
      <c r="F80" s="15">
        <f t="shared" si="2"/>
        <v>0.4636</v>
      </c>
    </row>
    <row r="81">
      <c r="A81" s="2" t="s">
        <v>15</v>
      </c>
      <c r="B81" s="2" t="s">
        <v>28</v>
      </c>
      <c r="C81" s="2" t="s">
        <v>4</v>
      </c>
      <c r="D81" s="14">
        <v>5160.0</v>
      </c>
      <c r="E81" s="15" t="str">
        <f t="shared" si="1"/>
        <v>HOG_128_8x8_PCA90.csvKnn170/30</v>
      </c>
      <c r="F81" s="15">
        <f t="shared" si="2"/>
        <v>0.516</v>
      </c>
    </row>
    <row r="82">
      <c r="A82" s="2" t="s">
        <v>15</v>
      </c>
      <c r="B82" s="2" t="s">
        <v>28</v>
      </c>
      <c r="C82" s="2" t="s">
        <v>5</v>
      </c>
      <c r="D82" s="14">
        <v>5518.0</v>
      </c>
      <c r="E82" s="15" t="str">
        <f t="shared" si="1"/>
        <v>HOG_128_8x8_PCA90.csvKnn270/30</v>
      </c>
      <c r="F82" s="15">
        <f t="shared" si="2"/>
        <v>0.5518</v>
      </c>
    </row>
    <row r="83">
      <c r="A83" s="2" t="s">
        <v>15</v>
      </c>
      <c r="B83" s="2" t="s">
        <v>28</v>
      </c>
      <c r="C83" s="2" t="s">
        <v>6</v>
      </c>
      <c r="D83" s="14">
        <v>4935.0</v>
      </c>
      <c r="E83" s="15" t="str">
        <f t="shared" si="1"/>
        <v>HOG_128_8x8_PCA90.csvKnn370/30</v>
      </c>
      <c r="F83" s="15">
        <f t="shared" si="2"/>
        <v>0.4935</v>
      </c>
    </row>
    <row r="84">
      <c r="A84" s="2" t="s">
        <v>15</v>
      </c>
      <c r="B84" s="2" t="s">
        <v>28</v>
      </c>
      <c r="C84" s="2" t="s">
        <v>7</v>
      </c>
      <c r="D84" s="14">
        <v>5313.0</v>
      </c>
      <c r="E84" s="15" t="str">
        <f t="shared" si="1"/>
        <v>HOG_128_8x8_PCA90.csvKnn470/30</v>
      </c>
      <c r="F84" s="15">
        <f t="shared" si="2"/>
        <v>0.5313</v>
      </c>
    </row>
    <row r="85">
      <c r="A85" s="2" t="s">
        <v>15</v>
      </c>
      <c r="B85" s="2" t="s">
        <v>28</v>
      </c>
      <c r="C85" s="2" t="s">
        <v>8</v>
      </c>
      <c r="D85" s="14">
        <v>4573.0</v>
      </c>
      <c r="E85" s="15" t="str">
        <f t="shared" si="1"/>
        <v>HOG_128_8x8_PCA90.csvKnn570/30</v>
      </c>
      <c r="F85" s="15">
        <f t="shared" si="2"/>
        <v>0.4573</v>
      </c>
    </row>
    <row r="86">
      <c r="A86" s="2" t="s">
        <v>15</v>
      </c>
      <c r="B86" s="2" t="s">
        <v>28</v>
      </c>
      <c r="C86" s="2" t="s">
        <v>9</v>
      </c>
      <c r="D86" s="14">
        <v>4888.0</v>
      </c>
      <c r="E86" s="15" t="str">
        <f t="shared" si="1"/>
        <v>HOG_128_8x8_PCA90.csvKnn670/30</v>
      </c>
      <c r="F86" s="15">
        <f t="shared" si="2"/>
        <v>0.4888</v>
      </c>
    </row>
    <row r="87">
      <c r="A87" s="2" t="s">
        <v>15</v>
      </c>
      <c r="B87" s="2" t="s">
        <v>28</v>
      </c>
      <c r="C87" s="2" t="s">
        <v>10</v>
      </c>
      <c r="D87" s="14">
        <v>4383.0</v>
      </c>
      <c r="E87" s="15" t="str">
        <f t="shared" si="1"/>
        <v>HOG_128_8x8_PCA90.csvKnn770/30</v>
      </c>
      <c r="F87" s="15">
        <f t="shared" si="2"/>
        <v>0.4383</v>
      </c>
    </row>
    <row r="88">
      <c r="A88" s="2" t="s">
        <v>15</v>
      </c>
      <c r="B88" s="2" t="s">
        <v>28</v>
      </c>
      <c r="C88" s="2" t="s">
        <v>11</v>
      </c>
      <c r="D88" s="14">
        <v>4734.0</v>
      </c>
      <c r="E88" s="15" t="str">
        <f t="shared" si="1"/>
        <v>HOG_128_8x8_PCA90.csvKnn870/30</v>
      </c>
      <c r="F88" s="15">
        <f t="shared" si="2"/>
        <v>0.4734</v>
      </c>
    </row>
    <row r="89">
      <c r="A89" s="2" t="s">
        <v>15</v>
      </c>
      <c r="B89" s="2" t="s">
        <v>28</v>
      </c>
      <c r="C89" s="2" t="s">
        <v>12</v>
      </c>
      <c r="D89" s="14">
        <v>4179.0</v>
      </c>
      <c r="E89" s="15" t="str">
        <f t="shared" si="1"/>
        <v>HOG_128_8x8_PCA90.csvKnn970/30</v>
      </c>
      <c r="F89" s="15">
        <f t="shared" si="2"/>
        <v>0.4179</v>
      </c>
    </row>
    <row r="90">
      <c r="A90" s="2" t="s">
        <v>15</v>
      </c>
      <c r="B90" s="2" t="s">
        <v>28</v>
      </c>
      <c r="C90" s="2" t="s">
        <v>13</v>
      </c>
      <c r="D90" s="14">
        <v>4588.0</v>
      </c>
      <c r="E90" s="15" t="str">
        <f t="shared" si="1"/>
        <v>HOG_128_8x8_PCA90.csvKnn1070/30</v>
      </c>
      <c r="F90" s="15">
        <f t="shared" si="2"/>
        <v>0.4588</v>
      </c>
    </row>
    <row r="91">
      <c r="A91" s="2" t="s">
        <v>15</v>
      </c>
      <c r="B91" s="2" t="s">
        <v>30</v>
      </c>
      <c r="C91" s="2" t="s">
        <v>4</v>
      </c>
      <c r="D91" s="14">
        <v>4953.0</v>
      </c>
      <c r="E91" s="15" t="str">
        <f t="shared" si="1"/>
        <v>HOG_256_16x16.csvKnn170/30</v>
      </c>
      <c r="F91" s="15">
        <f t="shared" si="2"/>
        <v>0.4953</v>
      </c>
    </row>
    <row r="92">
      <c r="A92" s="2" t="s">
        <v>15</v>
      </c>
      <c r="B92" s="2" t="s">
        <v>30</v>
      </c>
      <c r="C92" s="2" t="s">
        <v>5</v>
      </c>
      <c r="D92" s="14">
        <v>5292.0</v>
      </c>
      <c r="E92" s="15" t="str">
        <f t="shared" si="1"/>
        <v>HOG_256_16x16.csvKnn270/30</v>
      </c>
      <c r="F92" s="15">
        <f t="shared" si="2"/>
        <v>0.5292</v>
      </c>
    </row>
    <row r="93">
      <c r="A93" s="2" t="s">
        <v>15</v>
      </c>
      <c r="B93" s="2" t="s">
        <v>30</v>
      </c>
      <c r="C93" s="2" t="s">
        <v>6</v>
      </c>
      <c r="D93" s="14">
        <v>4787.0</v>
      </c>
      <c r="E93" s="15" t="str">
        <f t="shared" si="1"/>
        <v>HOG_256_16x16.csvKnn370/30</v>
      </c>
      <c r="F93" s="15">
        <f t="shared" si="2"/>
        <v>0.4787</v>
      </c>
    </row>
    <row r="94">
      <c r="A94" s="2" t="s">
        <v>15</v>
      </c>
      <c r="B94" s="2" t="s">
        <v>30</v>
      </c>
      <c r="C94" s="2" t="s">
        <v>7</v>
      </c>
      <c r="D94" s="14">
        <v>5093.0</v>
      </c>
      <c r="E94" s="15" t="str">
        <f t="shared" si="1"/>
        <v>HOG_256_16x16.csvKnn470/30</v>
      </c>
      <c r="F94" s="15">
        <f t="shared" si="2"/>
        <v>0.5093</v>
      </c>
    </row>
    <row r="95">
      <c r="A95" s="2" t="s">
        <v>15</v>
      </c>
      <c r="B95" s="2" t="s">
        <v>30</v>
      </c>
      <c r="C95" s="2" t="s">
        <v>8</v>
      </c>
      <c r="D95" s="14">
        <v>4534.0</v>
      </c>
      <c r="E95" s="15" t="str">
        <f t="shared" si="1"/>
        <v>HOG_256_16x16.csvKnn570/30</v>
      </c>
      <c r="F95" s="15">
        <f t="shared" si="2"/>
        <v>0.4534</v>
      </c>
    </row>
    <row r="96">
      <c r="A96" s="2" t="s">
        <v>15</v>
      </c>
      <c r="B96" s="2" t="s">
        <v>30</v>
      </c>
      <c r="C96" s="2" t="s">
        <v>9</v>
      </c>
      <c r="D96" s="14">
        <v>4800.0</v>
      </c>
      <c r="E96" s="15" t="str">
        <f t="shared" si="1"/>
        <v>HOG_256_16x16.csvKnn670/30</v>
      </c>
      <c r="F96" s="15">
        <f t="shared" si="2"/>
        <v>0.48</v>
      </c>
    </row>
    <row r="97">
      <c r="A97" s="2" t="s">
        <v>15</v>
      </c>
      <c r="B97" s="2" t="s">
        <v>30</v>
      </c>
      <c r="C97" s="2" t="s">
        <v>10</v>
      </c>
      <c r="D97" s="14">
        <v>4332.0</v>
      </c>
      <c r="E97" s="15" t="str">
        <f t="shared" si="1"/>
        <v>HOG_256_16x16.csvKnn770/30</v>
      </c>
      <c r="F97" s="15">
        <f t="shared" si="2"/>
        <v>0.4332</v>
      </c>
    </row>
    <row r="98">
      <c r="A98" s="2" t="s">
        <v>15</v>
      </c>
      <c r="B98" s="2" t="s">
        <v>30</v>
      </c>
      <c r="C98" s="2" t="s">
        <v>11</v>
      </c>
      <c r="D98" s="14">
        <v>4740.0</v>
      </c>
      <c r="E98" s="15" t="str">
        <f t="shared" si="1"/>
        <v>HOG_256_16x16.csvKnn870/30</v>
      </c>
      <c r="F98" s="15">
        <f t="shared" si="2"/>
        <v>0.474</v>
      </c>
    </row>
    <row r="99">
      <c r="A99" s="2" t="s">
        <v>15</v>
      </c>
      <c r="B99" s="2" t="s">
        <v>30</v>
      </c>
      <c r="C99" s="2" t="s">
        <v>12</v>
      </c>
      <c r="D99" s="14">
        <v>4362.0</v>
      </c>
      <c r="E99" s="15" t="str">
        <f t="shared" si="1"/>
        <v>HOG_256_16x16.csvKnn970/30</v>
      </c>
      <c r="F99" s="15">
        <f t="shared" si="2"/>
        <v>0.4362</v>
      </c>
    </row>
    <row r="100">
      <c r="A100" s="2" t="s">
        <v>15</v>
      </c>
      <c r="B100" s="2" t="s">
        <v>30</v>
      </c>
      <c r="C100" s="2" t="s">
        <v>13</v>
      </c>
      <c r="D100" s="14">
        <v>4634.0</v>
      </c>
      <c r="E100" s="15" t="str">
        <f t="shared" si="1"/>
        <v>HOG_256_16x16.csvKnn1070/30</v>
      </c>
      <c r="F100" s="15">
        <f t="shared" si="2"/>
        <v>0.4634</v>
      </c>
    </row>
    <row r="101">
      <c r="A101" s="2" t="s">
        <v>15</v>
      </c>
      <c r="B101" s="2" t="s">
        <v>32</v>
      </c>
      <c r="C101" s="2" t="s">
        <v>4</v>
      </c>
      <c r="D101" s="14">
        <v>5512.0</v>
      </c>
      <c r="E101" s="15" t="str">
        <f t="shared" si="1"/>
        <v>HOG_256_16x16_PCA75.csvKnn170/30</v>
      </c>
      <c r="F101" s="15">
        <f t="shared" si="2"/>
        <v>0.5512</v>
      </c>
    </row>
    <row r="102">
      <c r="A102" s="2" t="s">
        <v>15</v>
      </c>
      <c r="B102" s="2" t="s">
        <v>32</v>
      </c>
      <c r="C102" s="2" t="s">
        <v>5</v>
      </c>
      <c r="D102" s="14">
        <v>5794.0</v>
      </c>
      <c r="E102" s="15" t="str">
        <f t="shared" si="1"/>
        <v>HOG_256_16x16_PCA75.csvKnn270/30</v>
      </c>
      <c r="F102" s="15">
        <f t="shared" si="2"/>
        <v>0.5794</v>
      </c>
    </row>
    <row r="103">
      <c r="A103" s="2" t="s">
        <v>15</v>
      </c>
      <c r="B103" s="2" t="s">
        <v>32</v>
      </c>
      <c r="C103" s="2" t="s">
        <v>6</v>
      </c>
      <c r="D103" s="14">
        <v>5047.0</v>
      </c>
      <c r="E103" s="15" t="str">
        <f t="shared" si="1"/>
        <v>HOG_256_16x16_PCA75.csvKnn370/30</v>
      </c>
      <c r="F103" s="15">
        <f t="shared" si="2"/>
        <v>0.5047</v>
      </c>
    </row>
    <row r="104">
      <c r="A104" s="2" t="s">
        <v>15</v>
      </c>
      <c r="B104" s="2" t="s">
        <v>32</v>
      </c>
      <c r="C104" s="2" t="s">
        <v>7</v>
      </c>
      <c r="D104" s="14">
        <v>5488.0</v>
      </c>
      <c r="E104" s="15" t="str">
        <f t="shared" si="1"/>
        <v>HOG_256_16x16_PCA75.csvKnn470/30</v>
      </c>
      <c r="F104" s="15">
        <f t="shared" si="2"/>
        <v>0.5488</v>
      </c>
    </row>
    <row r="105">
      <c r="A105" s="2" t="s">
        <v>15</v>
      </c>
      <c r="B105" s="2" t="s">
        <v>32</v>
      </c>
      <c r="C105" s="2" t="s">
        <v>8</v>
      </c>
      <c r="D105" s="14">
        <v>4962.0</v>
      </c>
      <c r="E105" s="15" t="str">
        <f t="shared" si="1"/>
        <v>HOG_256_16x16_PCA75.csvKnn570/30</v>
      </c>
      <c r="F105" s="15">
        <f t="shared" si="2"/>
        <v>0.4962</v>
      </c>
    </row>
    <row r="106">
      <c r="A106" s="2" t="s">
        <v>15</v>
      </c>
      <c r="B106" s="2" t="s">
        <v>32</v>
      </c>
      <c r="C106" s="2" t="s">
        <v>9</v>
      </c>
      <c r="D106" s="14">
        <v>5265.0</v>
      </c>
      <c r="E106" s="15" t="str">
        <f t="shared" si="1"/>
        <v>HOG_256_16x16_PCA75.csvKnn670/30</v>
      </c>
      <c r="F106" s="15">
        <f t="shared" si="2"/>
        <v>0.5265</v>
      </c>
    </row>
    <row r="107">
      <c r="A107" s="2" t="s">
        <v>15</v>
      </c>
      <c r="B107" s="2" t="s">
        <v>32</v>
      </c>
      <c r="C107" s="2" t="s">
        <v>10</v>
      </c>
      <c r="D107" s="14">
        <v>4812.0</v>
      </c>
      <c r="E107" s="15" t="str">
        <f t="shared" si="1"/>
        <v>HOG_256_16x16_PCA75.csvKnn770/30</v>
      </c>
      <c r="F107" s="15">
        <f t="shared" si="2"/>
        <v>0.4812</v>
      </c>
    </row>
    <row r="108">
      <c r="A108" s="2" t="s">
        <v>15</v>
      </c>
      <c r="B108" s="2" t="s">
        <v>32</v>
      </c>
      <c r="C108" s="2" t="s">
        <v>11</v>
      </c>
      <c r="D108" s="14">
        <v>5038.0</v>
      </c>
      <c r="E108" s="15" t="str">
        <f t="shared" si="1"/>
        <v>HOG_256_16x16_PCA75.csvKnn870/30</v>
      </c>
      <c r="F108" s="15">
        <f t="shared" si="2"/>
        <v>0.5038</v>
      </c>
    </row>
    <row r="109">
      <c r="A109" s="2" t="s">
        <v>15</v>
      </c>
      <c r="B109" s="2" t="s">
        <v>32</v>
      </c>
      <c r="C109" s="2" t="s">
        <v>12</v>
      </c>
      <c r="D109" s="14">
        <v>4716.0</v>
      </c>
      <c r="E109" s="15" t="str">
        <f t="shared" si="1"/>
        <v>HOG_256_16x16_PCA75.csvKnn970/30</v>
      </c>
      <c r="F109" s="15">
        <f t="shared" si="2"/>
        <v>0.4716</v>
      </c>
    </row>
    <row r="110">
      <c r="A110" s="2" t="s">
        <v>15</v>
      </c>
      <c r="B110" s="2" t="s">
        <v>32</v>
      </c>
      <c r="C110" s="2" t="s">
        <v>13</v>
      </c>
      <c r="D110" s="14">
        <v>5002.0</v>
      </c>
      <c r="E110" s="15" t="str">
        <f t="shared" si="1"/>
        <v>HOG_256_16x16_PCA75.csvKnn1070/30</v>
      </c>
      <c r="F110" s="15">
        <f t="shared" si="2"/>
        <v>0.5002</v>
      </c>
    </row>
    <row r="111">
      <c r="A111" s="2" t="s">
        <v>15</v>
      </c>
      <c r="B111" s="2" t="s">
        <v>34</v>
      </c>
      <c r="C111" s="2" t="s">
        <v>4</v>
      </c>
      <c r="D111" s="14">
        <v>5079.0</v>
      </c>
      <c r="E111" s="15" t="str">
        <f t="shared" si="1"/>
        <v>HOG_256_16x16_PCA90.csvKnn170/30</v>
      </c>
      <c r="F111" s="15">
        <f t="shared" si="2"/>
        <v>0.5079</v>
      </c>
    </row>
    <row r="112">
      <c r="A112" s="2" t="s">
        <v>15</v>
      </c>
      <c r="B112" s="2" t="s">
        <v>34</v>
      </c>
      <c r="C112" s="2" t="s">
        <v>5</v>
      </c>
      <c r="D112" s="14">
        <v>5445.0</v>
      </c>
      <c r="E112" s="15" t="str">
        <f t="shared" si="1"/>
        <v>HOG_256_16x16_PCA90.csvKnn270/30</v>
      </c>
      <c r="F112" s="15">
        <f t="shared" si="2"/>
        <v>0.5445</v>
      </c>
    </row>
    <row r="113">
      <c r="A113" s="2" t="s">
        <v>15</v>
      </c>
      <c r="B113" s="2" t="s">
        <v>34</v>
      </c>
      <c r="C113" s="2" t="s">
        <v>6</v>
      </c>
      <c r="D113" s="14">
        <v>4807.0</v>
      </c>
      <c r="E113" s="15" t="str">
        <f t="shared" si="1"/>
        <v>HOG_256_16x16_PCA90.csvKnn370/30</v>
      </c>
      <c r="F113" s="15">
        <f t="shared" si="2"/>
        <v>0.4807</v>
      </c>
    </row>
    <row r="114">
      <c r="A114" s="2" t="s">
        <v>15</v>
      </c>
      <c r="B114" s="2" t="s">
        <v>34</v>
      </c>
      <c r="C114" s="2" t="s">
        <v>7</v>
      </c>
      <c r="D114" s="14">
        <v>5124.0</v>
      </c>
      <c r="E114" s="15" t="str">
        <f t="shared" si="1"/>
        <v>HOG_256_16x16_PCA90.csvKnn470/30</v>
      </c>
      <c r="F114" s="15">
        <f t="shared" si="2"/>
        <v>0.5124</v>
      </c>
    </row>
    <row r="115">
      <c r="A115" s="2" t="s">
        <v>15</v>
      </c>
      <c r="B115" s="2" t="s">
        <v>34</v>
      </c>
      <c r="C115" s="2" t="s">
        <v>8</v>
      </c>
      <c r="D115" s="14">
        <v>4537.0</v>
      </c>
      <c r="E115" s="15" t="str">
        <f t="shared" si="1"/>
        <v>HOG_256_16x16_PCA90.csvKnn570/30</v>
      </c>
      <c r="F115" s="15">
        <f t="shared" si="2"/>
        <v>0.4537</v>
      </c>
    </row>
    <row r="116">
      <c r="A116" s="2" t="s">
        <v>15</v>
      </c>
      <c r="B116" s="2" t="s">
        <v>34</v>
      </c>
      <c r="C116" s="2" t="s">
        <v>9</v>
      </c>
      <c r="D116" s="14">
        <v>4831.0</v>
      </c>
      <c r="E116" s="15" t="str">
        <f t="shared" si="1"/>
        <v>HOG_256_16x16_PCA90.csvKnn670/30</v>
      </c>
      <c r="F116" s="15">
        <f t="shared" si="2"/>
        <v>0.4831</v>
      </c>
    </row>
    <row r="117">
      <c r="A117" s="2" t="s">
        <v>15</v>
      </c>
      <c r="B117" s="2" t="s">
        <v>34</v>
      </c>
      <c r="C117" s="2" t="s">
        <v>10</v>
      </c>
      <c r="D117" s="14">
        <v>4392.0</v>
      </c>
      <c r="E117" s="15" t="str">
        <f t="shared" si="1"/>
        <v>HOG_256_16x16_PCA90.csvKnn770/30</v>
      </c>
      <c r="F117" s="15">
        <f t="shared" si="2"/>
        <v>0.4392</v>
      </c>
    </row>
    <row r="118">
      <c r="A118" s="2" t="s">
        <v>15</v>
      </c>
      <c r="B118" s="2" t="s">
        <v>34</v>
      </c>
      <c r="C118" s="2" t="s">
        <v>11</v>
      </c>
      <c r="D118" s="14">
        <v>4741.0</v>
      </c>
      <c r="E118" s="15" t="str">
        <f t="shared" si="1"/>
        <v>HOG_256_16x16_PCA90.csvKnn870/30</v>
      </c>
      <c r="F118" s="15">
        <f t="shared" si="2"/>
        <v>0.4741</v>
      </c>
    </row>
    <row r="119">
      <c r="A119" s="2" t="s">
        <v>15</v>
      </c>
      <c r="B119" s="2" t="s">
        <v>34</v>
      </c>
      <c r="C119" s="2" t="s">
        <v>12</v>
      </c>
      <c r="D119" s="14">
        <v>4349.0</v>
      </c>
      <c r="E119" s="15" t="str">
        <f t="shared" si="1"/>
        <v>HOG_256_16x16_PCA90.csvKnn970/30</v>
      </c>
      <c r="F119" s="15">
        <f t="shared" si="2"/>
        <v>0.4349</v>
      </c>
    </row>
    <row r="120">
      <c r="A120" s="2" t="s">
        <v>15</v>
      </c>
      <c r="B120" s="2" t="s">
        <v>34</v>
      </c>
      <c r="C120" s="2" t="s">
        <v>13</v>
      </c>
      <c r="D120" s="14">
        <v>4512.0</v>
      </c>
      <c r="E120" s="15" t="str">
        <f t="shared" si="1"/>
        <v>HOG_256_16x16_PCA90.csvKnn1070/30</v>
      </c>
      <c r="F120" s="15">
        <f t="shared" si="2"/>
        <v>0.4512</v>
      </c>
    </row>
    <row r="121">
      <c r="A121" s="2" t="s">
        <v>15</v>
      </c>
      <c r="B121" s="2" t="s">
        <v>36</v>
      </c>
      <c r="C121" s="2" t="s">
        <v>4</v>
      </c>
      <c r="D121" s="14">
        <v>5959.0</v>
      </c>
      <c r="E121" s="15" t="str">
        <f t="shared" si="1"/>
        <v>HOG_256_32x32.csvKnn170/30</v>
      </c>
      <c r="F121" s="15">
        <f t="shared" si="2"/>
        <v>0.5959</v>
      </c>
    </row>
    <row r="122">
      <c r="A122" s="2" t="s">
        <v>15</v>
      </c>
      <c r="B122" s="2" t="s">
        <v>36</v>
      </c>
      <c r="C122" s="2" t="s">
        <v>5</v>
      </c>
      <c r="D122" s="14">
        <v>6426.0</v>
      </c>
      <c r="E122" s="15" t="str">
        <f t="shared" si="1"/>
        <v>HOG_256_32x32.csvKnn270/30</v>
      </c>
      <c r="F122" s="15">
        <f t="shared" si="2"/>
        <v>0.6426</v>
      </c>
    </row>
    <row r="123">
      <c r="A123" s="2" t="s">
        <v>15</v>
      </c>
      <c r="B123" s="2" t="s">
        <v>36</v>
      </c>
      <c r="C123" s="2" t="s">
        <v>6</v>
      </c>
      <c r="D123" s="14">
        <v>5584.0</v>
      </c>
      <c r="E123" s="15" t="str">
        <f t="shared" si="1"/>
        <v>HOG_256_32x32.csvKnn370/30</v>
      </c>
      <c r="F123" s="15">
        <f t="shared" si="2"/>
        <v>0.5584</v>
      </c>
    </row>
    <row r="124">
      <c r="A124" s="2" t="s">
        <v>15</v>
      </c>
      <c r="B124" s="2" t="s">
        <v>36</v>
      </c>
      <c r="C124" s="2" t="s">
        <v>7</v>
      </c>
      <c r="D124" s="14">
        <v>5977.0</v>
      </c>
      <c r="E124" s="15" t="str">
        <f t="shared" si="1"/>
        <v>HOG_256_32x32.csvKnn470/30</v>
      </c>
      <c r="F124" s="15">
        <f t="shared" si="2"/>
        <v>0.5977</v>
      </c>
    </row>
    <row r="125">
      <c r="A125" s="2" t="s">
        <v>15</v>
      </c>
      <c r="B125" s="2" t="s">
        <v>36</v>
      </c>
      <c r="C125" s="2" t="s">
        <v>8</v>
      </c>
      <c r="D125" s="14">
        <v>5506.0</v>
      </c>
      <c r="E125" s="15" t="str">
        <f t="shared" si="1"/>
        <v>HOG_256_32x32.csvKnn570/30</v>
      </c>
      <c r="F125" s="15">
        <f t="shared" si="2"/>
        <v>0.5506</v>
      </c>
    </row>
    <row r="126">
      <c r="A126" s="2" t="s">
        <v>15</v>
      </c>
      <c r="B126" s="2" t="s">
        <v>36</v>
      </c>
      <c r="C126" s="2" t="s">
        <v>9</v>
      </c>
      <c r="D126" s="14">
        <v>5780.0</v>
      </c>
      <c r="E126" s="15" t="str">
        <f t="shared" si="1"/>
        <v>HOG_256_32x32.csvKnn670/30</v>
      </c>
      <c r="F126" s="15">
        <f t="shared" si="2"/>
        <v>0.578</v>
      </c>
    </row>
    <row r="127">
      <c r="A127" s="2" t="s">
        <v>15</v>
      </c>
      <c r="B127" s="2" t="s">
        <v>36</v>
      </c>
      <c r="C127" s="2" t="s">
        <v>10</v>
      </c>
      <c r="D127" s="14">
        <v>5271.0</v>
      </c>
      <c r="E127" s="15" t="str">
        <f t="shared" si="1"/>
        <v>HOG_256_32x32.csvKnn770/30</v>
      </c>
      <c r="F127" s="15">
        <f t="shared" si="2"/>
        <v>0.5271</v>
      </c>
    </row>
    <row r="128">
      <c r="A128" s="2" t="s">
        <v>15</v>
      </c>
      <c r="B128" s="2" t="s">
        <v>36</v>
      </c>
      <c r="C128" s="2" t="s">
        <v>11</v>
      </c>
      <c r="D128" s="14">
        <v>5605.0</v>
      </c>
      <c r="E128" s="15" t="str">
        <f t="shared" si="1"/>
        <v>HOG_256_32x32.csvKnn870/30</v>
      </c>
      <c r="F128" s="15">
        <f t="shared" si="2"/>
        <v>0.5605</v>
      </c>
    </row>
    <row r="129">
      <c r="A129" s="2" t="s">
        <v>15</v>
      </c>
      <c r="B129" s="2" t="s">
        <v>36</v>
      </c>
      <c r="C129" s="2" t="s">
        <v>12</v>
      </c>
      <c r="D129" s="14">
        <v>5237.0</v>
      </c>
      <c r="E129" s="15" t="str">
        <f t="shared" si="1"/>
        <v>HOG_256_32x32.csvKnn970/30</v>
      </c>
      <c r="F129" s="15">
        <f t="shared" si="2"/>
        <v>0.5237</v>
      </c>
    </row>
    <row r="130">
      <c r="A130" s="2" t="s">
        <v>15</v>
      </c>
      <c r="B130" s="2" t="s">
        <v>36</v>
      </c>
      <c r="C130" s="2" t="s">
        <v>13</v>
      </c>
      <c r="D130" s="14">
        <v>5490.0</v>
      </c>
      <c r="E130" s="15" t="str">
        <f t="shared" si="1"/>
        <v>HOG_256_32x32.csvKnn1070/30</v>
      </c>
      <c r="F130" s="15">
        <f t="shared" si="2"/>
        <v>0.549</v>
      </c>
    </row>
    <row r="131">
      <c r="A131" s="2" t="s">
        <v>15</v>
      </c>
      <c r="B131" s="2" t="s">
        <v>22</v>
      </c>
      <c r="C131" s="2" t="s">
        <v>4</v>
      </c>
      <c r="D131" s="14">
        <v>6542.0</v>
      </c>
      <c r="E131" s="15" t="str">
        <f t="shared" si="1"/>
        <v>HOG_256_32x32_PCA75.csvKnn170/30</v>
      </c>
      <c r="F131" s="15">
        <f t="shared" si="2"/>
        <v>0.6542</v>
      </c>
    </row>
    <row r="132">
      <c r="A132" s="2" t="s">
        <v>15</v>
      </c>
      <c r="B132" s="2" t="s">
        <v>22</v>
      </c>
      <c r="C132" s="2" t="s">
        <v>5</v>
      </c>
      <c r="D132" s="14">
        <v>6739.0</v>
      </c>
      <c r="E132" s="15" t="str">
        <f t="shared" si="1"/>
        <v>HOG_256_32x32_PCA75.csvKnn270/30</v>
      </c>
      <c r="F132" s="15">
        <f t="shared" si="2"/>
        <v>0.6739</v>
      </c>
    </row>
    <row r="133">
      <c r="A133" s="2" t="s">
        <v>15</v>
      </c>
      <c r="B133" s="2" t="s">
        <v>22</v>
      </c>
      <c r="C133" s="2" t="s">
        <v>6</v>
      </c>
      <c r="D133" s="14">
        <v>6463.0</v>
      </c>
      <c r="E133" s="15" t="str">
        <f t="shared" si="1"/>
        <v>HOG_256_32x32_PCA75.csvKnn370/30</v>
      </c>
      <c r="F133" s="15">
        <f t="shared" si="2"/>
        <v>0.6463</v>
      </c>
    </row>
    <row r="134">
      <c r="A134" s="2" t="s">
        <v>15</v>
      </c>
      <c r="B134" s="2" t="s">
        <v>22</v>
      </c>
      <c r="C134" s="2" t="s">
        <v>7</v>
      </c>
      <c r="D134" s="14">
        <v>6669.0</v>
      </c>
      <c r="E134" s="15" t="str">
        <f t="shared" si="1"/>
        <v>HOG_256_32x32_PCA75.csvKnn470/30</v>
      </c>
      <c r="F134" s="15">
        <f t="shared" si="2"/>
        <v>0.6669</v>
      </c>
    </row>
    <row r="135">
      <c r="A135" s="2" t="s">
        <v>15</v>
      </c>
      <c r="B135" s="2" t="s">
        <v>22</v>
      </c>
      <c r="C135" s="2" t="s">
        <v>8</v>
      </c>
      <c r="D135" s="14">
        <v>6344.0</v>
      </c>
      <c r="E135" s="15" t="str">
        <f t="shared" si="1"/>
        <v>HOG_256_32x32_PCA75.csvKnn570/30</v>
      </c>
      <c r="F135" s="15">
        <f t="shared" si="2"/>
        <v>0.6344</v>
      </c>
    </row>
    <row r="136">
      <c r="A136" s="2" t="s">
        <v>15</v>
      </c>
      <c r="B136" s="2" t="s">
        <v>22</v>
      </c>
      <c r="C136" s="2" t="s">
        <v>9</v>
      </c>
      <c r="D136" s="14">
        <v>6653.0</v>
      </c>
      <c r="E136" s="15" t="str">
        <f t="shared" si="1"/>
        <v>HOG_256_32x32_PCA75.csvKnn670/30</v>
      </c>
      <c r="F136" s="15">
        <f t="shared" si="2"/>
        <v>0.6653</v>
      </c>
    </row>
    <row r="137">
      <c r="A137" s="2" t="s">
        <v>15</v>
      </c>
      <c r="B137" s="2" t="s">
        <v>22</v>
      </c>
      <c r="C137" s="2" t="s">
        <v>10</v>
      </c>
      <c r="D137" s="14">
        <v>6292.0</v>
      </c>
      <c r="E137" s="15" t="str">
        <f t="shared" si="1"/>
        <v>HOG_256_32x32_PCA75.csvKnn770/30</v>
      </c>
      <c r="F137" s="15">
        <f t="shared" si="2"/>
        <v>0.6292</v>
      </c>
    </row>
    <row r="138">
      <c r="A138" s="2" t="s">
        <v>15</v>
      </c>
      <c r="B138" s="2" t="s">
        <v>22</v>
      </c>
      <c r="C138" s="2" t="s">
        <v>11</v>
      </c>
      <c r="D138" s="14">
        <v>6612.0</v>
      </c>
      <c r="E138" s="15" t="str">
        <f t="shared" si="1"/>
        <v>HOG_256_32x32_PCA75.csvKnn870/30</v>
      </c>
      <c r="F138" s="15">
        <f t="shared" si="2"/>
        <v>0.6612</v>
      </c>
    </row>
    <row r="139">
      <c r="A139" s="2" t="s">
        <v>15</v>
      </c>
      <c r="B139" s="2" t="s">
        <v>22</v>
      </c>
      <c r="C139" s="2" t="s">
        <v>12</v>
      </c>
      <c r="D139" s="14">
        <v>6219.0</v>
      </c>
      <c r="E139" s="15" t="str">
        <f t="shared" si="1"/>
        <v>HOG_256_32x32_PCA75.csvKnn970/30</v>
      </c>
      <c r="F139" s="15">
        <f t="shared" si="2"/>
        <v>0.6219</v>
      </c>
    </row>
    <row r="140">
      <c r="A140" s="2" t="s">
        <v>15</v>
      </c>
      <c r="B140" s="2" t="s">
        <v>22</v>
      </c>
      <c r="C140" s="2" t="s">
        <v>13</v>
      </c>
      <c r="D140" s="14">
        <v>6612.0</v>
      </c>
      <c r="E140" s="15" t="str">
        <f t="shared" si="1"/>
        <v>HOG_256_32x32_PCA75.csvKnn1070/30</v>
      </c>
      <c r="F140" s="15">
        <f t="shared" si="2"/>
        <v>0.6612</v>
      </c>
    </row>
    <row r="141">
      <c r="A141" s="2" t="s">
        <v>15</v>
      </c>
      <c r="B141" s="2" t="s">
        <v>23</v>
      </c>
      <c r="C141" s="2" t="s">
        <v>4</v>
      </c>
      <c r="D141" s="14">
        <v>6184.0</v>
      </c>
      <c r="E141" s="15" t="str">
        <f t="shared" si="1"/>
        <v>HOG_256_32x32_PCA90.csvKnn170/30</v>
      </c>
      <c r="F141" s="15">
        <f t="shared" si="2"/>
        <v>0.6184</v>
      </c>
    </row>
    <row r="142">
      <c r="A142" s="2" t="s">
        <v>15</v>
      </c>
      <c r="B142" s="2" t="s">
        <v>23</v>
      </c>
      <c r="C142" s="2" t="s">
        <v>5</v>
      </c>
      <c r="D142" s="14">
        <v>6472.0</v>
      </c>
      <c r="E142" s="15" t="str">
        <f t="shared" si="1"/>
        <v>HOG_256_32x32_PCA90.csvKnn270/30</v>
      </c>
      <c r="F142" s="15">
        <f t="shared" si="2"/>
        <v>0.6472</v>
      </c>
    </row>
    <row r="143">
      <c r="A143" s="2" t="s">
        <v>15</v>
      </c>
      <c r="B143" s="2" t="s">
        <v>23</v>
      </c>
      <c r="C143" s="2" t="s">
        <v>6</v>
      </c>
      <c r="D143" s="14">
        <v>5870.0</v>
      </c>
      <c r="E143" s="15" t="str">
        <f t="shared" si="1"/>
        <v>HOG_256_32x32_PCA90.csvKnn370/30</v>
      </c>
      <c r="F143" s="15">
        <f t="shared" si="2"/>
        <v>0.587</v>
      </c>
    </row>
    <row r="144">
      <c r="A144" s="2" t="s">
        <v>15</v>
      </c>
      <c r="B144" s="2" t="s">
        <v>23</v>
      </c>
      <c r="C144" s="2" t="s">
        <v>7</v>
      </c>
      <c r="D144" s="14">
        <v>6324.0</v>
      </c>
      <c r="E144" s="15" t="str">
        <f t="shared" si="1"/>
        <v>HOG_256_32x32_PCA90.csvKnn470/30</v>
      </c>
      <c r="F144" s="15">
        <f t="shared" si="2"/>
        <v>0.6324</v>
      </c>
    </row>
    <row r="145">
      <c r="A145" s="2" t="s">
        <v>15</v>
      </c>
      <c r="B145" s="2" t="s">
        <v>23</v>
      </c>
      <c r="C145" s="2" t="s">
        <v>8</v>
      </c>
      <c r="D145" s="14">
        <v>5686.0</v>
      </c>
      <c r="E145" s="15" t="str">
        <f t="shared" si="1"/>
        <v>HOG_256_32x32_PCA90.csvKnn570/30</v>
      </c>
      <c r="F145" s="15">
        <f t="shared" si="2"/>
        <v>0.5686</v>
      </c>
    </row>
    <row r="146">
      <c r="A146" s="2" t="s">
        <v>15</v>
      </c>
      <c r="B146" s="2" t="s">
        <v>23</v>
      </c>
      <c r="C146" s="2" t="s">
        <v>9</v>
      </c>
      <c r="D146" s="14">
        <v>6025.0</v>
      </c>
      <c r="E146" s="15" t="str">
        <f t="shared" si="1"/>
        <v>HOG_256_32x32_PCA90.csvKnn670/30</v>
      </c>
      <c r="F146" s="15">
        <f t="shared" si="2"/>
        <v>0.6025</v>
      </c>
    </row>
    <row r="147">
      <c r="A147" s="2" t="s">
        <v>15</v>
      </c>
      <c r="B147" s="2" t="s">
        <v>23</v>
      </c>
      <c r="C147" s="2" t="s">
        <v>10</v>
      </c>
      <c r="D147" s="14">
        <v>5607.0</v>
      </c>
      <c r="E147" s="15" t="str">
        <f t="shared" si="1"/>
        <v>HOG_256_32x32_PCA90.csvKnn770/30</v>
      </c>
      <c r="F147" s="15">
        <f t="shared" si="2"/>
        <v>0.5607</v>
      </c>
    </row>
    <row r="148">
      <c r="A148" s="2" t="s">
        <v>15</v>
      </c>
      <c r="B148" s="2" t="s">
        <v>23</v>
      </c>
      <c r="C148" s="2" t="s">
        <v>11</v>
      </c>
      <c r="D148" s="14">
        <v>5917.0</v>
      </c>
      <c r="E148" s="15" t="str">
        <f t="shared" si="1"/>
        <v>HOG_256_32x32_PCA90.csvKnn870/30</v>
      </c>
      <c r="F148" s="15">
        <f t="shared" si="2"/>
        <v>0.5917</v>
      </c>
    </row>
    <row r="149">
      <c r="A149" s="2" t="s">
        <v>15</v>
      </c>
      <c r="B149" s="2" t="s">
        <v>23</v>
      </c>
      <c r="C149" s="2" t="s">
        <v>12</v>
      </c>
      <c r="D149" s="14">
        <v>5507.0</v>
      </c>
      <c r="E149" s="15" t="str">
        <f t="shared" si="1"/>
        <v>HOG_256_32x32_PCA90.csvKnn970/30</v>
      </c>
      <c r="F149" s="15">
        <f t="shared" si="2"/>
        <v>0.5507</v>
      </c>
    </row>
    <row r="150">
      <c r="A150" s="2" t="s">
        <v>15</v>
      </c>
      <c r="B150" s="2" t="s">
        <v>23</v>
      </c>
      <c r="C150" s="2" t="s">
        <v>13</v>
      </c>
      <c r="D150" s="14">
        <v>5838.0</v>
      </c>
      <c r="E150" s="15" t="str">
        <f t="shared" si="1"/>
        <v>HOG_256_32x32_PCA90.csvKnn1070/30</v>
      </c>
      <c r="F150" s="15">
        <f t="shared" si="2"/>
        <v>0.5838</v>
      </c>
    </row>
    <row r="151">
      <c r="A151" s="2" t="s">
        <v>15</v>
      </c>
      <c r="B151" s="2" t="s">
        <v>40</v>
      </c>
      <c r="C151" s="2" t="s">
        <v>4</v>
      </c>
      <c r="D151" s="14">
        <v>4560.0</v>
      </c>
      <c r="E151" s="15" t="str">
        <f t="shared" si="1"/>
        <v>HOG_256_8x8.csvKnn170/30</v>
      </c>
      <c r="F151" s="15">
        <f t="shared" si="2"/>
        <v>0.456</v>
      </c>
    </row>
    <row r="152">
      <c r="A152" s="2" t="s">
        <v>15</v>
      </c>
      <c r="B152" s="2" t="s">
        <v>40</v>
      </c>
      <c r="C152" s="2" t="s">
        <v>5</v>
      </c>
      <c r="D152" s="14">
        <v>5062.0</v>
      </c>
      <c r="E152" s="15" t="str">
        <f t="shared" si="1"/>
        <v>HOG_256_8x8.csvKnn270/30</v>
      </c>
      <c r="F152" s="15">
        <f t="shared" si="2"/>
        <v>0.5062</v>
      </c>
    </row>
    <row r="153">
      <c r="A153" s="2" t="s">
        <v>15</v>
      </c>
      <c r="B153" s="2" t="s">
        <v>40</v>
      </c>
      <c r="C153" s="2" t="s">
        <v>6</v>
      </c>
      <c r="D153" s="14">
        <v>4530.0</v>
      </c>
      <c r="E153" s="15" t="str">
        <f t="shared" si="1"/>
        <v>HOG_256_8x8.csvKnn370/30</v>
      </c>
      <c r="F153" s="15">
        <f t="shared" si="2"/>
        <v>0.453</v>
      </c>
    </row>
    <row r="154">
      <c r="A154" s="2" t="s">
        <v>15</v>
      </c>
      <c r="B154" s="2" t="s">
        <v>40</v>
      </c>
      <c r="C154" s="2" t="s">
        <v>7</v>
      </c>
      <c r="D154" s="14">
        <v>4795.0</v>
      </c>
      <c r="E154" s="15" t="str">
        <f t="shared" si="1"/>
        <v>HOG_256_8x8.csvKnn470/30</v>
      </c>
      <c r="F154" s="15">
        <f t="shared" si="2"/>
        <v>0.4795</v>
      </c>
    </row>
    <row r="155">
      <c r="A155" s="2" t="s">
        <v>15</v>
      </c>
      <c r="B155" s="2" t="s">
        <v>40</v>
      </c>
      <c r="C155" s="2" t="s">
        <v>8</v>
      </c>
      <c r="D155" s="14">
        <v>4392.0</v>
      </c>
      <c r="E155" s="15" t="str">
        <f t="shared" si="1"/>
        <v>HOG_256_8x8.csvKnn570/30</v>
      </c>
      <c r="F155" s="15">
        <f t="shared" si="2"/>
        <v>0.4392</v>
      </c>
    </row>
    <row r="156">
      <c r="A156" s="2" t="s">
        <v>15</v>
      </c>
      <c r="B156" s="2" t="s">
        <v>40</v>
      </c>
      <c r="C156" s="2" t="s">
        <v>9</v>
      </c>
      <c r="D156" s="14">
        <v>4733.0</v>
      </c>
      <c r="E156" s="15" t="str">
        <f t="shared" si="1"/>
        <v>HOG_256_8x8.csvKnn670/30</v>
      </c>
      <c r="F156" s="15">
        <f t="shared" si="2"/>
        <v>0.4733</v>
      </c>
    </row>
    <row r="157">
      <c r="A157" s="2" t="s">
        <v>15</v>
      </c>
      <c r="B157" s="2" t="s">
        <v>40</v>
      </c>
      <c r="C157" s="2" t="s">
        <v>10</v>
      </c>
      <c r="D157" s="14">
        <v>4302.0</v>
      </c>
      <c r="E157" s="15" t="str">
        <f t="shared" si="1"/>
        <v>HOG_256_8x8.csvKnn770/30</v>
      </c>
      <c r="F157" s="15">
        <f t="shared" si="2"/>
        <v>0.4302</v>
      </c>
    </row>
    <row r="158">
      <c r="A158" s="2" t="s">
        <v>15</v>
      </c>
      <c r="B158" s="2" t="s">
        <v>40</v>
      </c>
      <c r="C158" s="2" t="s">
        <v>11</v>
      </c>
      <c r="D158" s="14">
        <v>4630.0</v>
      </c>
      <c r="E158" s="15" t="str">
        <f t="shared" si="1"/>
        <v>HOG_256_8x8.csvKnn870/30</v>
      </c>
      <c r="F158" s="15">
        <f t="shared" si="2"/>
        <v>0.463</v>
      </c>
    </row>
    <row r="159">
      <c r="A159" s="2" t="s">
        <v>15</v>
      </c>
      <c r="B159" s="2" t="s">
        <v>40</v>
      </c>
      <c r="C159" s="2" t="s">
        <v>12</v>
      </c>
      <c r="D159" s="14">
        <v>4323.0</v>
      </c>
      <c r="E159" s="15" t="str">
        <f t="shared" si="1"/>
        <v>HOG_256_8x8.csvKnn970/30</v>
      </c>
      <c r="F159" s="15">
        <f t="shared" si="2"/>
        <v>0.4323</v>
      </c>
    </row>
    <row r="160">
      <c r="A160" s="2" t="s">
        <v>15</v>
      </c>
      <c r="B160" s="2" t="s">
        <v>40</v>
      </c>
      <c r="C160" s="2" t="s">
        <v>13</v>
      </c>
      <c r="D160" s="14">
        <v>4468.0</v>
      </c>
      <c r="E160" s="15" t="str">
        <f t="shared" si="1"/>
        <v>HOG_256_8x8.csvKnn1070/30</v>
      </c>
      <c r="F160" s="15">
        <f t="shared" si="2"/>
        <v>0.4468</v>
      </c>
    </row>
    <row r="161">
      <c r="A161" s="2" t="s">
        <v>15</v>
      </c>
      <c r="B161" s="2" t="s">
        <v>42</v>
      </c>
      <c r="C161" s="2" t="s">
        <v>4</v>
      </c>
      <c r="D161" s="14">
        <v>4708.0</v>
      </c>
      <c r="E161" s="15" t="str">
        <f t="shared" si="1"/>
        <v>HOG_256_8x8_PCA75.csvKnn170/30</v>
      </c>
      <c r="F161" s="15">
        <f t="shared" si="2"/>
        <v>0.4708</v>
      </c>
    </row>
    <row r="162">
      <c r="A162" s="2" t="s">
        <v>15</v>
      </c>
      <c r="B162" s="2" t="s">
        <v>42</v>
      </c>
      <c r="C162" s="2" t="s">
        <v>5</v>
      </c>
      <c r="D162" s="14">
        <v>5233.0</v>
      </c>
      <c r="E162" s="15" t="str">
        <f t="shared" si="1"/>
        <v>HOG_256_8x8_PCA75.csvKnn270/30</v>
      </c>
      <c r="F162" s="15">
        <f t="shared" si="2"/>
        <v>0.5233</v>
      </c>
    </row>
    <row r="163">
      <c r="A163" s="2" t="s">
        <v>15</v>
      </c>
      <c r="B163" s="2" t="s">
        <v>42</v>
      </c>
      <c r="C163" s="2" t="s">
        <v>6</v>
      </c>
      <c r="D163" s="14">
        <v>4576.0</v>
      </c>
      <c r="E163" s="15" t="str">
        <f t="shared" si="1"/>
        <v>HOG_256_8x8_PCA75.csvKnn370/30</v>
      </c>
      <c r="F163" s="15">
        <f t="shared" si="2"/>
        <v>0.4576</v>
      </c>
    </row>
    <row r="164">
      <c r="A164" s="2" t="s">
        <v>15</v>
      </c>
      <c r="B164" s="2" t="s">
        <v>42</v>
      </c>
      <c r="C164" s="2" t="s">
        <v>7</v>
      </c>
      <c r="D164" s="14">
        <v>4933.0</v>
      </c>
      <c r="E164" s="15" t="str">
        <f t="shared" si="1"/>
        <v>HOG_256_8x8_PCA75.csvKnn470/30</v>
      </c>
      <c r="F164" s="15">
        <f t="shared" si="2"/>
        <v>0.4933</v>
      </c>
    </row>
    <row r="165">
      <c r="A165" s="2" t="s">
        <v>15</v>
      </c>
      <c r="B165" s="2" t="s">
        <v>42</v>
      </c>
      <c r="C165" s="2" t="s">
        <v>8</v>
      </c>
      <c r="D165" s="14">
        <v>4425.0</v>
      </c>
      <c r="E165" s="15" t="str">
        <f t="shared" si="1"/>
        <v>HOG_256_8x8_PCA75.csvKnn570/30</v>
      </c>
      <c r="F165" s="15">
        <f t="shared" si="2"/>
        <v>0.4425</v>
      </c>
    </row>
    <row r="166">
      <c r="A166" s="2" t="s">
        <v>15</v>
      </c>
      <c r="B166" s="2" t="s">
        <v>42</v>
      </c>
      <c r="C166" s="2" t="s">
        <v>9</v>
      </c>
      <c r="D166" s="14">
        <v>4735.0</v>
      </c>
      <c r="E166" s="15" t="str">
        <f t="shared" si="1"/>
        <v>HOG_256_8x8_PCA75.csvKnn670/30</v>
      </c>
      <c r="F166" s="15">
        <f t="shared" si="2"/>
        <v>0.4735</v>
      </c>
    </row>
    <row r="167">
      <c r="A167" s="2" t="s">
        <v>15</v>
      </c>
      <c r="B167" s="2" t="s">
        <v>42</v>
      </c>
      <c r="C167" s="2" t="s">
        <v>10</v>
      </c>
      <c r="D167" s="14">
        <v>4375.0</v>
      </c>
      <c r="E167" s="15" t="str">
        <f t="shared" si="1"/>
        <v>HOG_256_8x8_PCA75.csvKnn770/30</v>
      </c>
      <c r="F167" s="15">
        <f t="shared" si="2"/>
        <v>0.4375</v>
      </c>
    </row>
    <row r="168">
      <c r="A168" s="2" t="s">
        <v>15</v>
      </c>
      <c r="B168" s="2" t="s">
        <v>42</v>
      </c>
      <c r="C168" s="2" t="s">
        <v>11</v>
      </c>
      <c r="D168" s="14">
        <v>4657.0</v>
      </c>
      <c r="E168" s="15" t="str">
        <f t="shared" si="1"/>
        <v>HOG_256_8x8_PCA75.csvKnn870/30</v>
      </c>
      <c r="F168" s="15">
        <f t="shared" si="2"/>
        <v>0.4657</v>
      </c>
    </row>
    <row r="169">
      <c r="A169" s="2" t="s">
        <v>15</v>
      </c>
      <c r="B169" s="2" t="s">
        <v>42</v>
      </c>
      <c r="C169" s="2" t="s">
        <v>12</v>
      </c>
      <c r="D169" s="14">
        <v>4270.0</v>
      </c>
      <c r="E169" s="15" t="str">
        <f t="shared" si="1"/>
        <v>HOG_256_8x8_PCA75.csvKnn970/30</v>
      </c>
      <c r="F169" s="15">
        <f t="shared" si="2"/>
        <v>0.427</v>
      </c>
    </row>
    <row r="170">
      <c r="A170" s="2" t="s">
        <v>15</v>
      </c>
      <c r="B170" s="2" t="s">
        <v>42</v>
      </c>
      <c r="C170" s="2" t="s">
        <v>13</v>
      </c>
      <c r="D170" s="14">
        <v>4456.0</v>
      </c>
      <c r="E170" s="15" t="str">
        <f t="shared" si="1"/>
        <v>HOG_256_8x8_PCA75.csvKnn1070/30</v>
      </c>
      <c r="F170" s="15">
        <f t="shared" si="2"/>
        <v>0.4456</v>
      </c>
    </row>
    <row r="171">
      <c r="A171" s="2" t="s">
        <v>15</v>
      </c>
      <c r="B171" s="2" t="s">
        <v>43</v>
      </c>
      <c r="C171" s="2" t="s">
        <v>4</v>
      </c>
      <c r="D171" s="14">
        <v>4516.0</v>
      </c>
      <c r="E171" s="15" t="str">
        <f t="shared" si="1"/>
        <v>HOG_256_8x8_PCA90.csvKnn170/30</v>
      </c>
      <c r="F171" s="15">
        <f t="shared" si="2"/>
        <v>0.4516</v>
      </c>
    </row>
    <row r="172">
      <c r="A172" s="2" t="s">
        <v>15</v>
      </c>
      <c r="B172" s="2" t="s">
        <v>43</v>
      </c>
      <c r="C172" s="2" t="s">
        <v>5</v>
      </c>
      <c r="D172" s="14">
        <v>5091.0</v>
      </c>
      <c r="E172" s="15" t="str">
        <f t="shared" si="1"/>
        <v>HOG_256_8x8_PCA90.csvKnn270/30</v>
      </c>
      <c r="F172" s="15">
        <f t="shared" si="2"/>
        <v>0.5091</v>
      </c>
    </row>
    <row r="173">
      <c r="A173" s="2" t="s">
        <v>15</v>
      </c>
      <c r="B173" s="2" t="s">
        <v>43</v>
      </c>
      <c r="C173" s="2" t="s">
        <v>6</v>
      </c>
      <c r="D173" s="14">
        <v>4403.0</v>
      </c>
      <c r="E173" s="15" t="str">
        <f t="shared" si="1"/>
        <v>HOG_256_8x8_PCA90.csvKnn370/30</v>
      </c>
      <c r="F173" s="15">
        <f t="shared" si="2"/>
        <v>0.4403</v>
      </c>
    </row>
    <row r="174">
      <c r="A174" s="2" t="s">
        <v>15</v>
      </c>
      <c r="B174" s="2" t="s">
        <v>43</v>
      </c>
      <c r="C174" s="2" t="s">
        <v>7</v>
      </c>
      <c r="D174" s="14">
        <v>4755.0</v>
      </c>
      <c r="E174" s="15" t="str">
        <f t="shared" si="1"/>
        <v>HOG_256_8x8_PCA90.csvKnn470/30</v>
      </c>
      <c r="F174" s="15">
        <f t="shared" si="2"/>
        <v>0.4755</v>
      </c>
    </row>
    <row r="175">
      <c r="A175" s="2" t="s">
        <v>15</v>
      </c>
      <c r="B175" s="2" t="s">
        <v>43</v>
      </c>
      <c r="C175" s="2" t="s">
        <v>8</v>
      </c>
      <c r="D175" s="14">
        <v>4272.0</v>
      </c>
      <c r="E175" s="15" t="str">
        <f t="shared" si="1"/>
        <v>HOG_256_8x8_PCA90.csvKnn570/30</v>
      </c>
      <c r="F175" s="15">
        <f t="shared" si="2"/>
        <v>0.4272</v>
      </c>
    </row>
    <row r="176">
      <c r="A176" s="2" t="s">
        <v>15</v>
      </c>
      <c r="B176" s="2" t="s">
        <v>43</v>
      </c>
      <c r="C176" s="2" t="s">
        <v>9</v>
      </c>
      <c r="D176" s="14">
        <v>4528.0</v>
      </c>
      <c r="E176" s="15" t="str">
        <f t="shared" si="1"/>
        <v>HOG_256_8x8_PCA90.csvKnn670/30</v>
      </c>
      <c r="F176" s="15">
        <f t="shared" si="2"/>
        <v>0.4528</v>
      </c>
    </row>
    <row r="177">
      <c r="A177" s="2" t="s">
        <v>15</v>
      </c>
      <c r="B177" s="2" t="s">
        <v>43</v>
      </c>
      <c r="C177" s="2" t="s">
        <v>10</v>
      </c>
      <c r="D177" s="14">
        <v>4222.0</v>
      </c>
      <c r="E177" s="15" t="str">
        <f t="shared" si="1"/>
        <v>HOG_256_8x8_PCA90.csvKnn770/30</v>
      </c>
      <c r="F177" s="15">
        <f t="shared" si="2"/>
        <v>0.4222</v>
      </c>
    </row>
    <row r="178">
      <c r="A178" s="2" t="s">
        <v>15</v>
      </c>
      <c r="B178" s="2" t="s">
        <v>43</v>
      </c>
      <c r="C178" s="2" t="s">
        <v>11</v>
      </c>
      <c r="D178" s="14">
        <v>4459.0</v>
      </c>
      <c r="E178" s="15" t="str">
        <f t="shared" si="1"/>
        <v>HOG_256_8x8_PCA90.csvKnn870/30</v>
      </c>
      <c r="F178" s="15">
        <f t="shared" si="2"/>
        <v>0.4459</v>
      </c>
    </row>
    <row r="179">
      <c r="A179" s="2" t="s">
        <v>15</v>
      </c>
      <c r="B179" s="2" t="s">
        <v>43</v>
      </c>
      <c r="C179" s="2" t="s">
        <v>12</v>
      </c>
      <c r="D179" s="14">
        <v>4137.0</v>
      </c>
      <c r="E179" s="15" t="str">
        <f t="shared" si="1"/>
        <v>HOG_256_8x8_PCA90.csvKnn970/30</v>
      </c>
      <c r="F179" s="15">
        <f t="shared" si="2"/>
        <v>0.4137</v>
      </c>
    </row>
    <row r="180">
      <c r="A180" s="2" t="s">
        <v>15</v>
      </c>
      <c r="B180" s="2" t="s">
        <v>43</v>
      </c>
      <c r="C180" s="2" t="s">
        <v>13</v>
      </c>
      <c r="D180" s="14">
        <v>4285.0</v>
      </c>
      <c r="E180" s="15" t="str">
        <f t="shared" si="1"/>
        <v>HOG_256_8x8_PCA90.csvKnn1070/30</v>
      </c>
      <c r="F180" s="15">
        <f t="shared" si="2"/>
        <v>0.4285</v>
      </c>
    </row>
    <row r="181">
      <c r="A181" s="2" t="s">
        <v>15</v>
      </c>
      <c r="B181" s="2" t="s">
        <v>25</v>
      </c>
      <c r="C181" s="2" t="s">
        <v>4</v>
      </c>
      <c r="D181" s="14">
        <v>5636.0</v>
      </c>
      <c r="E181" s="15" t="str">
        <f t="shared" si="1"/>
        <v>LBP_128_12r.csvKnn170/30</v>
      </c>
      <c r="F181" s="15">
        <f t="shared" si="2"/>
        <v>0.5636</v>
      </c>
    </row>
    <row r="182">
      <c r="A182" s="2" t="s">
        <v>15</v>
      </c>
      <c r="B182" s="2" t="s">
        <v>25</v>
      </c>
      <c r="C182" s="2" t="s">
        <v>5</v>
      </c>
      <c r="D182" s="14">
        <v>5382.0</v>
      </c>
      <c r="E182" s="15" t="str">
        <f t="shared" si="1"/>
        <v>LBP_128_12r.csvKnn270/30</v>
      </c>
      <c r="F182" s="15">
        <f t="shared" si="2"/>
        <v>0.5382</v>
      </c>
    </row>
    <row r="183">
      <c r="A183" s="2" t="s">
        <v>15</v>
      </c>
      <c r="B183" s="2" t="s">
        <v>25</v>
      </c>
      <c r="C183" s="2" t="s">
        <v>6</v>
      </c>
      <c r="D183" s="14">
        <v>6088.0</v>
      </c>
      <c r="E183" s="15" t="str">
        <f t="shared" si="1"/>
        <v>LBP_128_12r.csvKnn370/30</v>
      </c>
      <c r="F183" s="15">
        <f t="shared" si="2"/>
        <v>0.6088</v>
      </c>
    </row>
    <row r="184">
      <c r="A184" s="2" t="s">
        <v>15</v>
      </c>
      <c r="B184" s="2" t="s">
        <v>25</v>
      </c>
      <c r="C184" s="2" t="s">
        <v>7</v>
      </c>
      <c r="D184" s="14">
        <v>5742.0</v>
      </c>
      <c r="E184" s="15" t="str">
        <f t="shared" si="1"/>
        <v>LBP_128_12r.csvKnn470/30</v>
      </c>
      <c r="F184" s="15">
        <f t="shared" si="2"/>
        <v>0.5742</v>
      </c>
    </row>
    <row r="185">
      <c r="A185" s="2" t="s">
        <v>15</v>
      </c>
      <c r="B185" s="2" t="s">
        <v>25</v>
      </c>
      <c r="C185" s="2" t="s">
        <v>8</v>
      </c>
      <c r="D185" s="14">
        <v>6142.0</v>
      </c>
      <c r="E185" s="15" t="str">
        <f t="shared" si="1"/>
        <v>LBP_128_12r.csvKnn570/30</v>
      </c>
      <c r="F185" s="15">
        <f t="shared" si="2"/>
        <v>0.6142</v>
      </c>
    </row>
    <row r="186">
      <c r="A186" s="2" t="s">
        <v>15</v>
      </c>
      <c r="B186" s="2" t="s">
        <v>25</v>
      </c>
      <c r="C186" s="2" t="s">
        <v>9</v>
      </c>
      <c r="D186" s="14">
        <v>5949.0</v>
      </c>
      <c r="E186" s="15" t="str">
        <f t="shared" si="1"/>
        <v>LBP_128_12r.csvKnn670/30</v>
      </c>
      <c r="F186" s="15">
        <f t="shared" si="2"/>
        <v>0.5949</v>
      </c>
    </row>
    <row r="187">
      <c r="A187" s="2" t="s">
        <v>15</v>
      </c>
      <c r="B187" s="2" t="s">
        <v>25</v>
      </c>
      <c r="C187" s="2" t="s">
        <v>10</v>
      </c>
      <c r="D187" s="14">
        <v>6113.0</v>
      </c>
      <c r="E187" s="15" t="str">
        <f t="shared" si="1"/>
        <v>LBP_128_12r.csvKnn770/30</v>
      </c>
      <c r="F187" s="15">
        <f t="shared" si="2"/>
        <v>0.6113</v>
      </c>
    </row>
    <row r="188">
      <c r="A188" s="2" t="s">
        <v>15</v>
      </c>
      <c r="B188" s="2" t="s">
        <v>25</v>
      </c>
      <c r="C188" s="2" t="s">
        <v>11</v>
      </c>
      <c r="D188" s="14">
        <v>5940.0</v>
      </c>
      <c r="E188" s="15" t="str">
        <f t="shared" si="1"/>
        <v>LBP_128_12r.csvKnn870/30</v>
      </c>
      <c r="F188" s="15">
        <f t="shared" si="2"/>
        <v>0.594</v>
      </c>
    </row>
    <row r="189">
      <c r="A189" s="2" t="s">
        <v>15</v>
      </c>
      <c r="B189" s="2" t="s">
        <v>25</v>
      </c>
      <c r="C189" s="2" t="s">
        <v>12</v>
      </c>
      <c r="D189" s="14">
        <v>6084.0</v>
      </c>
      <c r="E189" s="15" t="str">
        <f t="shared" si="1"/>
        <v>LBP_128_12r.csvKnn970/30</v>
      </c>
      <c r="F189" s="15">
        <f t="shared" si="2"/>
        <v>0.6084</v>
      </c>
    </row>
    <row r="190">
      <c r="A190" s="2" t="s">
        <v>15</v>
      </c>
      <c r="B190" s="2" t="s">
        <v>25</v>
      </c>
      <c r="C190" s="2" t="s">
        <v>13</v>
      </c>
      <c r="D190" s="14">
        <v>6130.0</v>
      </c>
      <c r="E190" s="15" t="str">
        <f t="shared" si="1"/>
        <v>LBP_128_12r.csvKnn1070/30</v>
      </c>
      <c r="F190" s="15">
        <f t="shared" si="2"/>
        <v>0.613</v>
      </c>
    </row>
    <row r="191">
      <c r="A191" s="2" t="s">
        <v>15</v>
      </c>
      <c r="B191" s="2" t="s">
        <v>44</v>
      </c>
      <c r="C191" s="2" t="s">
        <v>4</v>
      </c>
      <c r="D191" s="14">
        <v>5733.0</v>
      </c>
      <c r="E191" s="15" t="str">
        <f t="shared" si="1"/>
        <v>LBP_128_12r_PCA75.csvKnn170/30</v>
      </c>
      <c r="F191" s="15">
        <f t="shared" si="2"/>
        <v>0.5733</v>
      </c>
    </row>
    <row r="192">
      <c r="A192" s="2" t="s">
        <v>15</v>
      </c>
      <c r="B192" s="2" t="s">
        <v>44</v>
      </c>
      <c r="C192" s="2" t="s">
        <v>5</v>
      </c>
      <c r="D192" s="14">
        <v>5396.0</v>
      </c>
      <c r="E192" s="15" t="str">
        <f t="shared" si="1"/>
        <v>LBP_128_12r_PCA75.csvKnn270/30</v>
      </c>
      <c r="F192" s="15">
        <f t="shared" si="2"/>
        <v>0.5396</v>
      </c>
    </row>
    <row r="193">
      <c r="A193" s="2" t="s">
        <v>15</v>
      </c>
      <c r="B193" s="2" t="s">
        <v>44</v>
      </c>
      <c r="C193" s="2" t="s">
        <v>6</v>
      </c>
      <c r="D193" s="14">
        <v>5761.0</v>
      </c>
      <c r="E193" s="15" t="str">
        <f t="shared" si="1"/>
        <v>LBP_128_12r_PCA75.csvKnn370/30</v>
      </c>
      <c r="F193" s="15">
        <f t="shared" si="2"/>
        <v>0.5761</v>
      </c>
    </row>
    <row r="194">
      <c r="A194" s="2" t="s">
        <v>15</v>
      </c>
      <c r="B194" s="2" t="s">
        <v>44</v>
      </c>
      <c r="C194" s="2" t="s">
        <v>7</v>
      </c>
      <c r="D194" s="14">
        <v>5710.0</v>
      </c>
      <c r="E194" s="15" t="str">
        <f t="shared" si="1"/>
        <v>LBP_128_12r_PCA75.csvKnn470/30</v>
      </c>
      <c r="F194" s="15">
        <f t="shared" si="2"/>
        <v>0.571</v>
      </c>
    </row>
    <row r="195">
      <c r="A195" s="2" t="s">
        <v>15</v>
      </c>
      <c r="B195" s="2" t="s">
        <v>44</v>
      </c>
      <c r="C195" s="2" t="s">
        <v>8</v>
      </c>
      <c r="D195" s="14">
        <v>5914.0</v>
      </c>
      <c r="E195" s="15" t="str">
        <f t="shared" si="1"/>
        <v>LBP_128_12r_PCA75.csvKnn570/30</v>
      </c>
      <c r="F195" s="15">
        <f t="shared" si="2"/>
        <v>0.5914</v>
      </c>
    </row>
    <row r="196">
      <c r="A196" s="2" t="s">
        <v>15</v>
      </c>
      <c r="B196" s="2" t="s">
        <v>44</v>
      </c>
      <c r="C196" s="2" t="s">
        <v>9</v>
      </c>
      <c r="D196" s="14">
        <v>5860.0</v>
      </c>
      <c r="E196" s="15" t="str">
        <f t="shared" si="1"/>
        <v>LBP_128_12r_PCA75.csvKnn670/30</v>
      </c>
      <c r="F196" s="15">
        <f t="shared" si="2"/>
        <v>0.586</v>
      </c>
    </row>
    <row r="197">
      <c r="A197" s="2" t="s">
        <v>15</v>
      </c>
      <c r="B197" s="2" t="s">
        <v>44</v>
      </c>
      <c r="C197" s="2" t="s">
        <v>10</v>
      </c>
      <c r="D197" s="14">
        <v>6050.0</v>
      </c>
      <c r="E197" s="15" t="str">
        <f t="shared" si="1"/>
        <v>LBP_128_12r_PCA75.csvKnn770/30</v>
      </c>
      <c r="F197" s="15">
        <f t="shared" si="2"/>
        <v>0.605</v>
      </c>
    </row>
    <row r="198">
      <c r="A198" s="2" t="s">
        <v>15</v>
      </c>
      <c r="B198" s="2" t="s">
        <v>44</v>
      </c>
      <c r="C198" s="2" t="s">
        <v>11</v>
      </c>
      <c r="D198" s="14">
        <v>5902.0</v>
      </c>
      <c r="E198" s="15" t="str">
        <f t="shared" si="1"/>
        <v>LBP_128_12r_PCA75.csvKnn870/30</v>
      </c>
      <c r="F198" s="15">
        <f t="shared" si="2"/>
        <v>0.5902</v>
      </c>
    </row>
    <row r="199">
      <c r="A199" s="2" t="s">
        <v>15</v>
      </c>
      <c r="B199" s="2" t="s">
        <v>44</v>
      </c>
      <c r="C199" s="2" t="s">
        <v>12</v>
      </c>
      <c r="D199" s="14">
        <v>5992.0</v>
      </c>
      <c r="E199" s="15" t="str">
        <f t="shared" si="1"/>
        <v>LBP_128_12r_PCA75.csvKnn970/30</v>
      </c>
      <c r="F199" s="15">
        <f t="shared" si="2"/>
        <v>0.5992</v>
      </c>
    </row>
    <row r="200">
      <c r="A200" s="2" t="s">
        <v>15</v>
      </c>
      <c r="B200" s="2" t="s">
        <v>44</v>
      </c>
      <c r="C200" s="2" t="s">
        <v>13</v>
      </c>
      <c r="D200" s="14">
        <v>5900.0</v>
      </c>
      <c r="E200" s="15" t="str">
        <f t="shared" si="1"/>
        <v>LBP_128_12r_PCA75.csvKnn1070/30</v>
      </c>
      <c r="F200" s="15">
        <f t="shared" si="2"/>
        <v>0.59</v>
      </c>
    </row>
    <row r="201">
      <c r="A201" s="2" t="s">
        <v>15</v>
      </c>
      <c r="B201" s="2" t="s">
        <v>45</v>
      </c>
      <c r="C201" s="2" t="s">
        <v>4</v>
      </c>
      <c r="D201" s="14">
        <v>5593.0</v>
      </c>
      <c r="E201" s="15" t="str">
        <f t="shared" si="1"/>
        <v>LBP_128_12r_PCA90.csvKnn170/30</v>
      </c>
      <c r="F201" s="15">
        <f t="shared" si="2"/>
        <v>0.5593</v>
      </c>
    </row>
    <row r="202">
      <c r="A202" s="2" t="s">
        <v>15</v>
      </c>
      <c r="B202" s="2" t="s">
        <v>45</v>
      </c>
      <c r="C202" s="2" t="s">
        <v>5</v>
      </c>
      <c r="D202" s="14">
        <v>5094.0</v>
      </c>
      <c r="E202" s="15" t="str">
        <f t="shared" si="1"/>
        <v>LBP_128_12r_PCA90.csvKnn270/30</v>
      </c>
      <c r="F202" s="15">
        <f t="shared" si="2"/>
        <v>0.5094</v>
      </c>
    </row>
    <row r="203">
      <c r="A203" s="2" t="s">
        <v>15</v>
      </c>
      <c r="B203" s="2" t="s">
        <v>45</v>
      </c>
      <c r="C203" s="2" t="s">
        <v>6</v>
      </c>
      <c r="D203" s="14">
        <v>5653.0</v>
      </c>
      <c r="E203" s="15" t="str">
        <f t="shared" si="1"/>
        <v>LBP_128_12r_PCA90.csvKnn370/30</v>
      </c>
      <c r="F203" s="15">
        <f t="shared" si="2"/>
        <v>0.5653</v>
      </c>
    </row>
    <row r="204">
      <c r="A204" s="2" t="s">
        <v>15</v>
      </c>
      <c r="B204" s="2" t="s">
        <v>45</v>
      </c>
      <c r="C204" s="2" t="s">
        <v>7</v>
      </c>
      <c r="D204" s="14">
        <v>5597.0</v>
      </c>
      <c r="E204" s="15" t="str">
        <f t="shared" si="1"/>
        <v>LBP_128_12r_PCA90.csvKnn470/30</v>
      </c>
      <c r="F204" s="15">
        <f t="shared" si="2"/>
        <v>0.5597</v>
      </c>
    </row>
    <row r="205">
      <c r="A205" s="2" t="s">
        <v>15</v>
      </c>
      <c r="B205" s="2" t="s">
        <v>45</v>
      </c>
      <c r="C205" s="2" t="s">
        <v>8</v>
      </c>
      <c r="D205" s="14">
        <v>5874.0</v>
      </c>
      <c r="E205" s="15" t="str">
        <f t="shared" si="1"/>
        <v>LBP_128_12r_PCA90.csvKnn570/30</v>
      </c>
      <c r="F205" s="15">
        <f t="shared" si="2"/>
        <v>0.5874</v>
      </c>
    </row>
    <row r="206">
      <c r="A206" s="2" t="s">
        <v>15</v>
      </c>
      <c r="B206" s="2" t="s">
        <v>45</v>
      </c>
      <c r="C206" s="2" t="s">
        <v>9</v>
      </c>
      <c r="D206" s="14">
        <v>5703.0</v>
      </c>
      <c r="E206" s="15" t="str">
        <f t="shared" si="1"/>
        <v>LBP_128_12r_PCA90.csvKnn670/30</v>
      </c>
      <c r="F206" s="15">
        <f t="shared" si="2"/>
        <v>0.5703</v>
      </c>
    </row>
    <row r="207">
      <c r="A207" s="2" t="s">
        <v>15</v>
      </c>
      <c r="B207" s="2" t="s">
        <v>45</v>
      </c>
      <c r="C207" s="2" t="s">
        <v>10</v>
      </c>
      <c r="D207" s="14">
        <v>5684.0</v>
      </c>
      <c r="E207" s="15" t="str">
        <f t="shared" si="1"/>
        <v>LBP_128_12r_PCA90.csvKnn770/30</v>
      </c>
      <c r="F207" s="15">
        <f t="shared" si="2"/>
        <v>0.5684</v>
      </c>
    </row>
    <row r="208">
      <c r="A208" s="2" t="s">
        <v>15</v>
      </c>
      <c r="B208" s="2" t="s">
        <v>45</v>
      </c>
      <c r="C208" s="2" t="s">
        <v>11</v>
      </c>
      <c r="D208" s="14">
        <v>5867.0</v>
      </c>
      <c r="E208" s="15" t="str">
        <f t="shared" si="1"/>
        <v>LBP_128_12r_PCA90.csvKnn870/30</v>
      </c>
      <c r="F208" s="15">
        <f t="shared" si="2"/>
        <v>0.5867</v>
      </c>
    </row>
    <row r="209">
      <c r="A209" s="2" t="s">
        <v>15</v>
      </c>
      <c r="B209" s="2" t="s">
        <v>45</v>
      </c>
      <c r="C209" s="2" t="s">
        <v>12</v>
      </c>
      <c r="D209" s="14">
        <v>5940.0</v>
      </c>
      <c r="E209" s="15" t="str">
        <f t="shared" si="1"/>
        <v>LBP_128_12r_PCA90.csvKnn970/30</v>
      </c>
      <c r="F209" s="15">
        <f t="shared" si="2"/>
        <v>0.594</v>
      </c>
    </row>
    <row r="210">
      <c r="A210" s="2" t="s">
        <v>15</v>
      </c>
      <c r="B210" s="2" t="s">
        <v>45</v>
      </c>
      <c r="C210" s="2" t="s">
        <v>13</v>
      </c>
      <c r="D210" s="14">
        <v>6000.0</v>
      </c>
      <c r="E210" s="15" t="str">
        <f t="shared" si="1"/>
        <v>LBP_128_12r_PCA90.csvKnn1070/30</v>
      </c>
      <c r="F210" s="15">
        <f t="shared" si="2"/>
        <v>0.6</v>
      </c>
    </row>
    <row r="211">
      <c r="A211" s="2" t="s">
        <v>15</v>
      </c>
      <c r="B211" s="2" t="s">
        <v>27</v>
      </c>
      <c r="C211" s="2" t="s">
        <v>4</v>
      </c>
      <c r="D211" s="14">
        <v>5831.0</v>
      </c>
      <c r="E211" s="15" t="str">
        <f t="shared" si="1"/>
        <v>LBP_128_3r.csvKnn170/30</v>
      </c>
      <c r="F211" s="15">
        <f t="shared" si="2"/>
        <v>0.5831</v>
      </c>
    </row>
    <row r="212">
      <c r="A212" s="2" t="s">
        <v>15</v>
      </c>
      <c r="B212" s="2" t="s">
        <v>27</v>
      </c>
      <c r="C212" s="2" t="s">
        <v>5</v>
      </c>
      <c r="D212" s="14">
        <v>5479.0</v>
      </c>
      <c r="E212" s="15" t="str">
        <f t="shared" si="1"/>
        <v>LBP_128_3r.csvKnn270/30</v>
      </c>
      <c r="F212" s="15">
        <f t="shared" si="2"/>
        <v>0.5479</v>
      </c>
    </row>
    <row r="213">
      <c r="A213" s="2" t="s">
        <v>15</v>
      </c>
      <c r="B213" s="2" t="s">
        <v>27</v>
      </c>
      <c r="C213" s="2" t="s">
        <v>6</v>
      </c>
      <c r="D213" s="14">
        <v>5780.0</v>
      </c>
      <c r="E213" s="15" t="str">
        <f t="shared" si="1"/>
        <v>LBP_128_3r.csvKnn370/30</v>
      </c>
      <c r="F213" s="15">
        <f t="shared" si="2"/>
        <v>0.578</v>
      </c>
    </row>
    <row r="214">
      <c r="A214" s="2" t="s">
        <v>15</v>
      </c>
      <c r="B214" s="2" t="s">
        <v>27</v>
      </c>
      <c r="C214" s="2" t="s">
        <v>7</v>
      </c>
      <c r="D214" s="14">
        <v>5723.0</v>
      </c>
      <c r="E214" s="15" t="str">
        <f t="shared" si="1"/>
        <v>LBP_128_3r.csvKnn470/30</v>
      </c>
      <c r="F214" s="15">
        <f t="shared" si="2"/>
        <v>0.5723</v>
      </c>
    </row>
    <row r="215">
      <c r="A215" s="2" t="s">
        <v>15</v>
      </c>
      <c r="B215" s="2" t="s">
        <v>27</v>
      </c>
      <c r="C215" s="2" t="s">
        <v>8</v>
      </c>
      <c r="D215" s="14">
        <v>6036.0</v>
      </c>
      <c r="E215" s="15" t="str">
        <f t="shared" si="1"/>
        <v>LBP_128_3r.csvKnn570/30</v>
      </c>
      <c r="F215" s="15">
        <f t="shared" si="2"/>
        <v>0.6036</v>
      </c>
    </row>
    <row r="216">
      <c r="A216" s="2" t="s">
        <v>15</v>
      </c>
      <c r="B216" s="2" t="s">
        <v>27</v>
      </c>
      <c r="C216" s="2" t="s">
        <v>9</v>
      </c>
      <c r="D216" s="14">
        <v>6053.0</v>
      </c>
      <c r="E216" s="15" t="str">
        <f t="shared" si="1"/>
        <v>LBP_128_3r.csvKnn670/30</v>
      </c>
      <c r="F216" s="15">
        <f t="shared" si="2"/>
        <v>0.6053</v>
      </c>
    </row>
    <row r="217">
      <c r="A217" s="2" t="s">
        <v>15</v>
      </c>
      <c r="B217" s="2" t="s">
        <v>27</v>
      </c>
      <c r="C217" s="2" t="s">
        <v>10</v>
      </c>
      <c r="D217" s="14">
        <v>6154.0</v>
      </c>
      <c r="E217" s="15" t="str">
        <f t="shared" si="1"/>
        <v>LBP_128_3r.csvKnn770/30</v>
      </c>
      <c r="F217" s="15">
        <f t="shared" si="2"/>
        <v>0.6154</v>
      </c>
    </row>
    <row r="218">
      <c r="A218" s="2" t="s">
        <v>15</v>
      </c>
      <c r="B218" s="2" t="s">
        <v>27</v>
      </c>
      <c r="C218" s="2" t="s">
        <v>11</v>
      </c>
      <c r="D218" s="14">
        <v>6156.0</v>
      </c>
      <c r="E218" s="15" t="str">
        <f t="shared" si="1"/>
        <v>LBP_128_3r.csvKnn870/30</v>
      </c>
      <c r="F218" s="15">
        <f t="shared" si="2"/>
        <v>0.6156</v>
      </c>
    </row>
    <row r="219">
      <c r="A219" s="2" t="s">
        <v>15</v>
      </c>
      <c r="B219" s="2" t="s">
        <v>27</v>
      </c>
      <c r="C219" s="2" t="s">
        <v>12</v>
      </c>
      <c r="D219" s="14">
        <v>6384.0</v>
      </c>
      <c r="E219" s="15" t="str">
        <f t="shared" si="1"/>
        <v>LBP_128_3r.csvKnn970/30</v>
      </c>
      <c r="F219" s="15">
        <f t="shared" si="2"/>
        <v>0.6384</v>
      </c>
    </row>
    <row r="220">
      <c r="A220" s="2" t="s">
        <v>15</v>
      </c>
      <c r="B220" s="2" t="s">
        <v>27</v>
      </c>
      <c r="C220" s="2" t="s">
        <v>13</v>
      </c>
      <c r="D220" s="14">
        <v>6259.0</v>
      </c>
      <c r="E220" s="15" t="str">
        <f t="shared" si="1"/>
        <v>LBP_128_3r.csvKnn1070/30</v>
      </c>
      <c r="F220" s="15">
        <f t="shared" si="2"/>
        <v>0.6259</v>
      </c>
    </row>
    <row r="221">
      <c r="A221" s="2" t="s">
        <v>15</v>
      </c>
      <c r="B221" s="2" t="s">
        <v>46</v>
      </c>
      <c r="C221" s="2" t="s">
        <v>4</v>
      </c>
      <c r="D221" s="14">
        <v>5663.0</v>
      </c>
      <c r="E221" s="15" t="str">
        <f t="shared" si="1"/>
        <v>LBP_128_3r_PCA75.csvKnn170/30</v>
      </c>
      <c r="F221" s="15">
        <f t="shared" si="2"/>
        <v>0.5663</v>
      </c>
    </row>
    <row r="222">
      <c r="A222" s="2" t="s">
        <v>15</v>
      </c>
      <c r="B222" s="2" t="s">
        <v>46</v>
      </c>
      <c r="C222" s="2" t="s">
        <v>5</v>
      </c>
      <c r="D222" s="14">
        <v>5423.0</v>
      </c>
      <c r="E222" s="15" t="str">
        <f t="shared" si="1"/>
        <v>LBP_128_3r_PCA75.csvKnn270/30</v>
      </c>
      <c r="F222" s="15">
        <f t="shared" si="2"/>
        <v>0.5423</v>
      </c>
    </row>
    <row r="223">
      <c r="A223" s="2" t="s">
        <v>15</v>
      </c>
      <c r="B223" s="2" t="s">
        <v>46</v>
      </c>
      <c r="C223" s="2" t="s">
        <v>6</v>
      </c>
      <c r="D223" s="14">
        <v>5747.0</v>
      </c>
      <c r="E223" s="15" t="str">
        <f t="shared" si="1"/>
        <v>LBP_128_3r_PCA75.csvKnn370/30</v>
      </c>
      <c r="F223" s="15">
        <f t="shared" si="2"/>
        <v>0.5747</v>
      </c>
    </row>
    <row r="224">
      <c r="A224" s="2" t="s">
        <v>15</v>
      </c>
      <c r="B224" s="2" t="s">
        <v>46</v>
      </c>
      <c r="C224" s="2" t="s">
        <v>7</v>
      </c>
      <c r="D224" s="14">
        <v>5676.0</v>
      </c>
      <c r="E224" s="15" t="str">
        <f t="shared" si="1"/>
        <v>LBP_128_3r_PCA75.csvKnn470/30</v>
      </c>
      <c r="F224" s="15">
        <f t="shared" si="2"/>
        <v>0.5676</v>
      </c>
    </row>
    <row r="225">
      <c r="A225" s="2" t="s">
        <v>15</v>
      </c>
      <c r="B225" s="2" t="s">
        <v>46</v>
      </c>
      <c r="C225" s="2" t="s">
        <v>8</v>
      </c>
      <c r="D225" s="14">
        <v>5914.0</v>
      </c>
      <c r="E225" s="15" t="str">
        <f t="shared" si="1"/>
        <v>LBP_128_3r_PCA75.csvKnn570/30</v>
      </c>
      <c r="F225" s="15">
        <f t="shared" si="2"/>
        <v>0.5914</v>
      </c>
    </row>
    <row r="226">
      <c r="A226" s="2" t="s">
        <v>15</v>
      </c>
      <c r="B226" s="2" t="s">
        <v>46</v>
      </c>
      <c r="C226" s="2" t="s">
        <v>9</v>
      </c>
      <c r="D226" s="14">
        <v>5688.0</v>
      </c>
      <c r="E226" s="15" t="str">
        <f t="shared" si="1"/>
        <v>LBP_128_3r_PCA75.csvKnn670/30</v>
      </c>
      <c r="F226" s="15">
        <f t="shared" si="2"/>
        <v>0.5688</v>
      </c>
    </row>
    <row r="227">
      <c r="A227" s="2" t="s">
        <v>15</v>
      </c>
      <c r="B227" s="2" t="s">
        <v>46</v>
      </c>
      <c r="C227" s="2" t="s">
        <v>10</v>
      </c>
      <c r="D227" s="14">
        <v>6018.0</v>
      </c>
      <c r="E227" s="15" t="str">
        <f t="shared" si="1"/>
        <v>LBP_128_3r_PCA75.csvKnn770/30</v>
      </c>
      <c r="F227" s="15">
        <f t="shared" si="2"/>
        <v>0.6018</v>
      </c>
    </row>
    <row r="228">
      <c r="A228" s="2" t="s">
        <v>15</v>
      </c>
      <c r="B228" s="2" t="s">
        <v>46</v>
      </c>
      <c r="C228" s="2" t="s">
        <v>11</v>
      </c>
      <c r="D228" s="14">
        <v>5840.0</v>
      </c>
      <c r="E228" s="15" t="str">
        <f t="shared" si="1"/>
        <v>LBP_128_3r_PCA75.csvKnn870/30</v>
      </c>
      <c r="F228" s="15">
        <f t="shared" si="2"/>
        <v>0.584</v>
      </c>
    </row>
    <row r="229">
      <c r="A229" s="2" t="s">
        <v>15</v>
      </c>
      <c r="B229" s="2" t="s">
        <v>46</v>
      </c>
      <c r="C229" s="2" t="s">
        <v>12</v>
      </c>
      <c r="D229" s="14">
        <v>5970.0</v>
      </c>
      <c r="E229" s="15" t="str">
        <f t="shared" si="1"/>
        <v>LBP_128_3r_PCA75.csvKnn970/30</v>
      </c>
      <c r="F229" s="15">
        <f t="shared" si="2"/>
        <v>0.597</v>
      </c>
    </row>
    <row r="230">
      <c r="A230" s="2" t="s">
        <v>15</v>
      </c>
      <c r="B230" s="2" t="s">
        <v>46</v>
      </c>
      <c r="C230" s="2" t="s">
        <v>13</v>
      </c>
      <c r="D230" s="14">
        <v>5944.0</v>
      </c>
      <c r="E230" s="15" t="str">
        <f t="shared" si="1"/>
        <v>LBP_128_3r_PCA75.csvKnn1070/30</v>
      </c>
      <c r="F230" s="15">
        <f t="shared" si="2"/>
        <v>0.5944</v>
      </c>
    </row>
    <row r="231">
      <c r="A231" s="2" t="s">
        <v>15</v>
      </c>
      <c r="B231" s="2" t="s">
        <v>29</v>
      </c>
      <c r="C231" s="2" t="s">
        <v>4</v>
      </c>
      <c r="D231" s="14">
        <v>5984.0</v>
      </c>
      <c r="E231" s="15" t="str">
        <f t="shared" si="1"/>
        <v>LBP_128_3r_PCA90.csvKnn170/30</v>
      </c>
      <c r="F231" s="15">
        <f t="shared" si="2"/>
        <v>0.5984</v>
      </c>
    </row>
    <row r="232">
      <c r="A232" s="2" t="s">
        <v>15</v>
      </c>
      <c r="B232" s="2" t="s">
        <v>29</v>
      </c>
      <c r="C232" s="2" t="s">
        <v>5</v>
      </c>
      <c r="D232" s="14">
        <v>5534.0</v>
      </c>
      <c r="E232" s="15" t="str">
        <f t="shared" si="1"/>
        <v>LBP_128_3r_PCA90.csvKnn270/30</v>
      </c>
      <c r="F232" s="15">
        <f t="shared" si="2"/>
        <v>0.5534</v>
      </c>
    </row>
    <row r="233">
      <c r="A233" s="2" t="s">
        <v>15</v>
      </c>
      <c r="B233" s="2" t="s">
        <v>29</v>
      </c>
      <c r="C233" s="2" t="s">
        <v>6</v>
      </c>
      <c r="D233" s="14">
        <v>6116.0</v>
      </c>
      <c r="E233" s="15" t="str">
        <f t="shared" si="1"/>
        <v>LBP_128_3r_PCA90.csvKnn370/30</v>
      </c>
      <c r="F233" s="15">
        <f t="shared" si="2"/>
        <v>0.6116</v>
      </c>
    </row>
    <row r="234">
      <c r="A234" s="2" t="s">
        <v>15</v>
      </c>
      <c r="B234" s="2" t="s">
        <v>29</v>
      </c>
      <c r="C234" s="2" t="s">
        <v>7</v>
      </c>
      <c r="D234" s="14">
        <v>6009.0</v>
      </c>
      <c r="E234" s="15" t="str">
        <f t="shared" si="1"/>
        <v>LBP_128_3r_PCA90.csvKnn470/30</v>
      </c>
      <c r="F234" s="15">
        <f t="shared" si="2"/>
        <v>0.6009</v>
      </c>
    </row>
    <row r="235">
      <c r="A235" s="2" t="s">
        <v>15</v>
      </c>
      <c r="B235" s="2" t="s">
        <v>29</v>
      </c>
      <c r="C235" s="2" t="s">
        <v>8</v>
      </c>
      <c r="D235" s="14">
        <v>6053.0</v>
      </c>
      <c r="E235" s="15" t="str">
        <f t="shared" si="1"/>
        <v>LBP_128_3r_PCA90.csvKnn570/30</v>
      </c>
      <c r="F235" s="15">
        <f t="shared" si="2"/>
        <v>0.6053</v>
      </c>
    </row>
    <row r="236">
      <c r="A236" s="2" t="s">
        <v>15</v>
      </c>
      <c r="B236" s="2" t="s">
        <v>29</v>
      </c>
      <c r="C236" s="2" t="s">
        <v>9</v>
      </c>
      <c r="D236" s="14">
        <v>6048.0</v>
      </c>
      <c r="E236" s="15" t="str">
        <f t="shared" si="1"/>
        <v>LBP_128_3r_PCA90.csvKnn670/30</v>
      </c>
      <c r="F236" s="15">
        <f t="shared" si="2"/>
        <v>0.6048</v>
      </c>
    </row>
    <row r="237">
      <c r="A237" s="2" t="s">
        <v>15</v>
      </c>
      <c r="B237" s="2" t="s">
        <v>29</v>
      </c>
      <c r="C237" s="2" t="s">
        <v>10</v>
      </c>
      <c r="D237" s="14">
        <v>6102.0</v>
      </c>
      <c r="E237" s="15" t="str">
        <f t="shared" si="1"/>
        <v>LBP_128_3r_PCA90.csvKnn770/30</v>
      </c>
      <c r="F237" s="15">
        <f t="shared" si="2"/>
        <v>0.6102</v>
      </c>
    </row>
    <row r="238">
      <c r="A238" s="2" t="s">
        <v>15</v>
      </c>
      <c r="B238" s="2" t="s">
        <v>29</v>
      </c>
      <c r="C238" s="2" t="s">
        <v>11</v>
      </c>
      <c r="D238" s="14">
        <v>6102.0</v>
      </c>
      <c r="E238" s="15" t="str">
        <f t="shared" si="1"/>
        <v>LBP_128_3r_PCA90.csvKnn870/30</v>
      </c>
      <c r="F238" s="15">
        <f t="shared" si="2"/>
        <v>0.6102</v>
      </c>
    </row>
    <row r="239">
      <c r="A239" s="2" t="s">
        <v>15</v>
      </c>
      <c r="B239" s="2" t="s">
        <v>29</v>
      </c>
      <c r="C239" s="2" t="s">
        <v>12</v>
      </c>
      <c r="D239" s="14">
        <v>6171.0</v>
      </c>
      <c r="E239" s="15" t="str">
        <f t="shared" si="1"/>
        <v>LBP_128_3r_PCA90.csvKnn970/30</v>
      </c>
      <c r="F239" s="15">
        <f t="shared" si="2"/>
        <v>0.6171</v>
      </c>
    </row>
    <row r="240">
      <c r="A240" s="2" t="s">
        <v>15</v>
      </c>
      <c r="B240" s="2" t="s">
        <v>29</v>
      </c>
      <c r="C240" s="2" t="s">
        <v>13</v>
      </c>
      <c r="D240" s="14">
        <v>6110.0</v>
      </c>
      <c r="E240" s="15" t="str">
        <f t="shared" si="1"/>
        <v>LBP_128_3r_PCA90.csvKnn1070/30</v>
      </c>
      <c r="F240" s="15">
        <f t="shared" si="2"/>
        <v>0.611</v>
      </c>
    </row>
    <row r="241">
      <c r="A241" s="2" t="s">
        <v>15</v>
      </c>
      <c r="B241" s="2" t="s">
        <v>31</v>
      </c>
      <c r="C241" s="2" t="s">
        <v>4</v>
      </c>
      <c r="D241" s="14">
        <v>5692.0</v>
      </c>
      <c r="E241" s="15" t="str">
        <f t="shared" si="1"/>
        <v>LBP_128_6r.csvKnn170/30</v>
      </c>
      <c r="F241" s="15">
        <f t="shared" si="2"/>
        <v>0.5692</v>
      </c>
    </row>
    <row r="242">
      <c r="A242" s="2" t="s">
        <v>15</v>
      </c>
      <c r="B242" s="2" t="s">
        <v>31</v>
      </c>
      <c r="C242" s="2" t="s">
        <v>5</v>
      </c>
      <c r="D242" s="14">
        <v>5568.0</v>
      </c>
      <c r="E242" s="15" t="str">
        <f t="shared" si="1"/>
        <v>LBP_128_6r.csvKnn270/30</v>
      </c>
      <c r="F242" s="15">
        <f t="shared" si="2"/>
        <v>0.5568</v>
      </c>
    </row>
    <row r="243">
      <c r="A243" s="2" t="s">
        <v>15</v>
      </c>
      <c r="B243" s="2" t="s">
        <v>31</v>
      </c>
      <c r="C243" s="2" t="s">
        <v>6</v>
      </c>
      <c r="D243" s="14">
        <v>6058.0</v>
      </c>
      <c r="E243" s="15" t="str">
        <f t="shared" si="1"/>
        <v>LBP_128_6r.csvKnn370/30</v>
      </c>
      <c r="F243" s="15">
        <f t="shared" si="2"/>
        <v>0.6058</v>
      </c>
    </row>
    <row r="244">
      <c r="A244" s="2" t="s">
        <v>15</v>
      </c>
      <c r="B244" s="2" t="s">
        <v>31</v>
      </c>
      <c r="C244" s="2" t="s">
        <v>7</v>
      </c>
      <c r="D244" s="14">
        <v>5917.0</v>
      </c>
      <c r="E244" s="15" t="str">
        <f t="shared" si="1"/>
        <v>LBP_128_6r.csvKnn470/30</v>
      </c>
      <c r="F244" s="15">
        <f t="shared" si="2"/>
        <v>0.5917</v>
      </c>
    </row>
    <row r="245">
      <c r="A245" s="2" t="s">
        <v>15</v>
      </c>
      <c r="B245" s="2" t="s">
        <v>31</v>
      </c>
      <c r="C245" s="2" t="s">
        <v>8</v>
      </c>
      <c r="D245" s="14">
        <v>6051.0</v>
      </c>
      <c r="E245" s="15" t="str">
        <f t="shared" si="1"/>
        <v>LBP_128_6r.csvKnn570/30</v>
      </c>
      <c r="F245" s="15">
        <f t="shared" si="2"/>
        <v>0.6051</v>
      </c>
    </row>
    <row r="246">
      <c r="A246" s="2" t="s">
        <v>15</v>
      </c>
      <c r="B246" s="2" t="s">
        <v>31</v>
      </c>
      <c r="C246" s="2" t="s">
        <v>9</v>
      </c>
      <c r="D246" s="14">
        <v>6051.0</v>
      </c>
      <c r="E246" s="15" t="str">
        <f t="shared" si="1"/>
        <v>LBP_128_6r.csvKnn670/30</v>
      </c>
      <c r="F246" s="15">
        <f t="shared" si="2"/>
        <v>0.6051</v>
      </c>
    </row>
    <row r="247">
      <c r="A247" s="2" t="s">
        <v>15</v>
      </c>
      <c r="B247" s="2" t="s">
        <v>31</v>
      </c>
      <c r="C247" s="2" t="s">
        <v>10</v>
      </c>
      <c r="D247" s="14">
        <v>6098.0</v>
      </c>
      <c r="E247" s="15" t="str">
        <f t="shared" si="1"/>
        <v>LBP_128_6r.csvKnn770/30</v>
      </c>
      <c r="F247" s="15">
        <f t="shared" si="2"/>
        <v>0.6098</v>
      </c>
    </row>
    <row r="248">
      <c r="A248" s="2" t="s">
        <v>15</v>
      </c>
      <c r="B248" s="2" t="s">
        <v>31</v>
      </c>
      <c r="C248" s="2" t="s">
        <v>11</v>
      </c>
      <c r="D248" s="14">
        <v>6188.0</v>
      </c>
      <c r="E248" s="15" t="str">
        <f t="shared" si="1"/>
        <v>LBP_128_6r.csvKnn870/30</v>
      </c>
      <c r="F248" s="15">
        <f t="shared" si="2"/>
        <v>0.6188</v>
      </c>
    </row>
    <row r="249">
      <c r="A249" s="2" t="s">
        <v>15</v>
      </c>
      <c r="B249" s="2" t="s">
        <v>31</v>
      </c>
      <c r="C249" s="2" t="s">
        <v>12</v>
      </c>
      <c r="D249" s="14">
        <v>6142.0</v>
      </c>
      <c r="E249" s="15" t="str">
        <f t="shared" si="1"/>
        <v>LBP_128_6r.csvKnn970/30</v>
      </c>
      <c r="F249" s="15">
        <f t="shared" si="2"/>
        <v>0.6142</v>
      </c>
    </row>
    <row r="250">
      <c r="A250" s="2" t="s">
        <v>15</v>
      </c>
      <c r="B250" s="2" t="s">
        <v>31</v>
      </c>
      <c r="C250" s="2" t="s">
        <v>13</v>
      </c>
      <c r="D250" s="14">
        <v>6218.0</v>
      </c>
      <c r="E250" s="15" t="str">
        <f t="shared" si="1"/>
        <v>LBP_128_6r.csvKnn1070/30</v>
      </c>
      <c r="F250" s="15">
        <f t="shared" si="2"/>
        <v>0.6218</v>
      </c>
    </row>
    <row r="251">
      <c r="A251" s="2" t="s">
        <v>15</v>
      </c>
      <c r="B251" s="2" t="s">
        <v>33</v>
      </c>
      <c r="C251" s="2" t="s">
        <v>4</v>
      </c>
      <c r="D251" s="14">
        <v>5739.0</v>
      </c>
      <c r="E251" s="15" t="str">
        <f t="shared" si="1"/>
        <v>LBP_128_6r_PCA75.csvKnn170/30</v>
      </c>
      <c r="F251" s="15">
        <f t="shared" si="2"/>
        <v>0.5739</v>
      </c>
    </row>
    <row r="252">
      <c r="A252" s="2" t="s">
        <v>15</v>
      </c>
      <c r="B252" s="2" t="s">
        <v>33</v>
      </c>
      <c r="C252" s="2" t="s">
        <v>5</v>
      </c>
      <c r="D252" s="14">
        <v>5370.0</v>
      </c>
      <c r="E252" s="15" t="str">
        <f t="shared" si="1"/>
        <v>LBP_128_6r_PCA75.csvKnn270/30</v>
      </c>
      <c r="F252" s="15">
        <f t="shared" si="2"/>
        <v>0.537</v>
      </c>
    </row>
    <row r="253">
      <c r="A253" s="2" t="s">
        <v>15</v>
      </c>
      <c r="B253" s="2" t="s">
        <v>33</v>
      </c>
      <c r="C253" s="2" t="s">
        <v>6</v>
      </c>
      <c r="D253" s="14">
        <v>5886.0</v>
      </c>
      <c r="E253" s="15" t="str">
        <f t="shared" si="1"/>
        <v>LBP_128_6r_PCA75.csvKnn370/30</v>
      </c>
      <c r="F253" s="15">
        <f t="shared" si="2"/>
        <v>0.5886</v>
      </c>
    </row>
    <row r="254">
      <c r="A254" s="2" t="s">
        <v>15</v>
      </c>
      <c r="B254" s="2" t="s">
        <v>33</v>
      </c>
      <c r="C254" s="2" t="s">
        <v>7</v>
      </c>
      <c r="D254" s="14">
        <v>5703.0</v>
      </c>
      <c r="E254" s="15" t="str">
        <f t="shared" si="1"/>
        <v>LBP_128_6r_PCA75.csvKnn470/30</v>
      </c>
      <c r="F254" s="15">
        <f t="shared" si="2"/>
        <v>0.5703</v>
      </c>
    </row>
    <row r="255">
      <c r="A255" s="2" t="s">
        <v>15</v>
      </c>
      <c r="B255" s="2" t="s">
        <v>33</v>
      </c>
      <c r="C255" s="2" t="s">
        <v>8</v>
      </c>
      <c r="D255" s="14">
        <v>5803.0</v>
      </c>
      <c r="E255" s="15" t="str">
        <f t="shared" si="1"/>
        <v>LBP_128_6r_PCA75.csvKnn570/30</v>
      </c>
      <c r="F255" s="15">
        <f t="shared" si="2"/>
        <v>0.5803</v>
      </c>
    </row>
    <row r="256">
      <c r="A256" s="2" t="s">
        <v>15</v>
      </c>
      <c r="B256" s="2" t="s">
        <v>33</v>
      </c>
      <c r="C256" s="2" t="s">
        <v>9</v>
      </c>
      <c r="D256" s="14">
        <v>5752.0</v>
      </c>
      <c r="E256" s="15" t="str">
        <f t="shared" si="1"/>
        <v>LBP_128_6r_PCA75.csvKnn670/30</v>
      </c>
      <c r="F256" s="15">
        <f t="shared" si="2"/>
        <v>0.5752</v>
      </c>
    </row>
    <row r="257">
      <c r="A257" s="2" t="s">
        <v>15</v>
      </c>
      <c r="B257" s="2" t="s">
        <v>33</v>
      </c>
      <c r="C257" s="2" t="s">
        <v>10</v>
      </c>
      <c r="D257" s="14">
        <v>5866.0</v>
      </c>
      <c r="E257" s="15" t="str">
        <f t="shared" si="1"/>
        <v>LBP_128_6r_PCA75.csvKnn770/30</v>
      </c>
      <c r="F257" s="15">
        <f t="shared" si="2"/>
        <v>0.5866</v>
      </c>
    </row>
    <row r="258">
      <c r="A258" s="2" t="s">
        <v>15</v>
      </c>
      <c r="B258" s="2" t="s">
        <v>33</v>
      </c>
      <c r="C258" s="2" t="s">
        <v>11</v>
      </c>
      <c r="D258" s="14">
        <v>5897.0</v>
      </c>
      <c r="E258" s="15" t="str">
        <f t="shared" si="1"/>
        <v>LBP_128_6r_PCA75.csvKnn870/30</v>
      </c>
      <c r="F258" s="15">
        <f t="shared" si="2"/>
        <v>0.5897</v>
      </c>
    </row>
    <row r="259">
      <c r="A259" s="2" t="s">
        <v>15</v>
      </c>
      <c r="B259" s="2" t="s">
        <v>33</v>
      </c>
      <c r="C259" s="2" t="s">
        <v>12</v>
      </c>
      <c r="D259" s="14">
        <v>5940.0</v>
      </c>
      <c r="E259" s="15" t="str">
        <f t="shared" si="1"/>
        <v>LBP_128_6r_PCA75.csvKnn970/30</v>
      </c>
      <c r="F259" s="15">
        <f t="shared" si="2"/>
        <v>0.594</v>
      </c>
    </row>
    <row r="260">
      <c r="A260" s="2" t="s">
        <v>15</v>
      </c>
      <c r="B260" s="2" t="s">
        <v>33</v>
      </c>
      <c r="C260" s="2" t="s">
        <v>13</v>
      </c>
      <c r="D260" s="14">
        <v>5942.0</v>
      </c>
      <c r="E260" s="15" t="str">
        <f t="shared" si="1"/>
        <v>LBP_128_6r_PCA75.csvKnn1070/30</v>
      </c>
      <c r="F260" s="15">
        <f t="shared" si="2"/>
        <v>0.5942</v>
      </c>
    </row>
    <row r="261">
      <c r="A261" s="2" t="s">
        <v>15</v>
      </c>
      <c r="B261" s="2" t="s">
        <v>35</v>
      </c>
      <c r="C261" s="2" t="s">
        <v>4</v>
      </c>
      <c r="D261" s="14">
        <v>5921.0</v>
      </c>
      <c r="E261" s="15" t="str">
        <f t="shared" si="1"/>
        <v>LBP_128_6r_PCA90.csvKnn170/30</v>
      </c>
      <c r="F261" s="15">
        <f t="shared" si="2"/>
        <v>0.5921</v>
      </c>
    </row>
    <row r="262">
      <c r="A262" s="2" t="s">
        <v>15</v>
      </c>
      <c r="B262" s="2" t="s">
        <v>35</v>
      </c>
      <c r="C262" s="2" t="s">
        <v>5</v>
      </c>
      <c r="D262" s="14">
        <v>5639.0</v>
      </c>
      <c r="E262" s="15" t="str">
        <f t="shared" si="1"/>
        <v>LBP_128_6r_PCA90.csvKnn270/30</v>
      </c>
      <c r="F262" s="15">
        <f t="shared" si="2"/>
        <v>0.5639</v>
      </c>
    </row>
    <row r="263">
      <c r="A263" s="2" t="s">
        <v>15</v>
      </c>
      <c r="B263" s="2" t="s">
        <v>35</v>
      </c>
      <c r="C263" s="2" t="s">
        <v>6</v>
      </c>
      <c r="D263" s="14">
        <v>6158.0</v>
      </c>
      <c r="E263" s="15" t="str">
        <f t="shared" si="1"/>
        <v>LBP_128_6r_PCA90.csvKnn370/30</v>
      </c>
      <c r="F263" s="15">
        <f t="shared" si="2"/>
        <v>0.6158</v>
      </c>
    </row>
    <row r="264">
      <c r="A264" s="2" t="s">
        <v>15</v>
      </c>
      <c r="B264" s="2" t="s">
        <v>35</v>
      </c>
      <c r="C264" s="2" t="s">
        <v>7</v>
      </c>
      <c r="D264" s="14">
        <v>6075.0</v>
      </c>
      <c r="E264" s="15" t="str">
        <f t="shared" si="1"/>
        <v>LBP_128_6r_PCA90.csvKnn470/30</v>
      </c>
      <c r="F264" s="15">
        <f t="shared" si="2"/>
        <v>0.6075</v>
      </c>
    </row>
    <row r="265">
      <c r="A265" s="2" t="s">
        <v>15</v>
      </c>
      <c r="B265" s="2" t="s">
        <v>35</v>
      </c>
      <c r="C265" s="2" t="s">
        <v>8</v>
      </c>
      <c r="D265" s="14">
        <v>6102.0</v>
      </c>
      <c r="E265" s="15" t="str">
        <f t="shared" si="1"/>
        <v>LBP_128_6r_PCA90.csvKnn570/30</v>
      </c>
      <c r="F265" s="15">
        <f t="shared" si="2"/>
        <v>0.6102</v>
      </c>
    </row>
    <row r="266">
      <c r="A266" s="2" t="s">
        <v>15</v>
      </c>
      <c r="B266" s="2" t="s">
        <v>35</v>
      </c>
      <c r="C266" s="2" t="s">
        <v>9</v>
      </c>
      <c r="D266" s="14">
        <v>5895.0</v>
      </c>
      <c r="E266" s="15" t="str">
        <f t="shared" si="1"/>
        <v>LBP_128_6r_PCA90.csvKnn670/30</v>
      </c>
      <c r="F266" s="15">
        <f t="shared" si="2"/>
        <v>0.5895</v>
      </c>
    </row>
    <row r="267">
      <c r="A267" s="2" t="s">
        <v>15</v>
      </c>
      <c r="B267" s="2" t="s">
        <v>35</v>
      </c>
      <c r="C267" s="2" t="s">
        <v>10</v>
      </c>
      <c r="D267" s="14">
        <v>6024.0</v>
      </c>
      <c r="E267" s="15" t="str">
        <f t="shared" si="1"/>
        <v>LBP_128_6r_PCA90.csvKnn770/30</v>
      </c>
      <c r="F267" s="15">
        <f t="shared" si="2"/>
        <v>0.6024</v>
      </c>
    </row>
    <row r="268">
      <c r="A268" s="2" t="s">
        <v>15</v>
      </c>
      <c r="B268" s="2" t="s">
        <v>35</v>
      </c>
      <c r="C268" s="2" t="s">
        <v>11</v>
      </c>
      <c r="D268" s="14">
        <v>5973.0</v>
      </c>
      <c r="E268" s="15" t="str">
        <f t="shared" si="1"/>
        <v>LBP_128_6r_PCA90.csvKnn870/30</v>
      </c>
      <c r="F268" s="15">
        <f t="shared" si="2"/>
        <v>0.5973</v>
      </c>
    </row>
    <row r="269">
      <c r="A269" s="2" t="s">
        <v>15</v>
      </c>
      <c r="B269" s="2" t="s">
        <v>35</v>
      </c>
      <c r="C269" s="2" t="s">
        <v>12</v>
      </c>
      <c r="D269" s="14">
        <v>6059.0</v>
      </c>
      <c r="E269" s="15" t="str">
        <f t="shared" si="1"/>
        <v>LBP_128_6r_PCA90.csvKnn970/30</v>
      </c>
      <c r="F269" s="15">
        <f t="shared" si="2"/>
        <v>0.6059</v>
      </c>
    </row>
    <row r="270">
      <c r="A270" s="2" t="s">
        <v>15</v>
      </c>
      <c r="B270" s="2" t="s">
        <v>35</v>
      </c>
      <c r="C270" s="2" t="s">
        <v>13</v>
      </c>
      <c r="D270" s="14">
        <v>6069.0</v>
      </c>
      <c r="E270" s="15" t="str">
        <f t="shared" si="1"/>
        <v>LBP_128_6r_PCA90.csvKnn1070/30</v>
      </c>
      <c r="F270" s="15">
        <f t="shared" si="2"/>
        <v>0.6069</v>
      </c>
    </row>
    <row r="271">
      <c r="A271" s="2" t="s">
        <v>15</v>
      </c>
      <c r="B271" s="2" t="s">
        <v>37</v>
      </c>
      <c r="C271" s="2" t="s">
        <v>4</v>
      </c>
      <c r="D271" s="14">
        <v>5747.0</v>
      </c>
      <c r="E271" s="15" t="str">
        <f t="shared" si="1"/>
        <v>LBP_256_12r.csvKnn170/30</v>
      </c>
      <c r="F271" s="15">
        <f t="shared" si="2"/>
        <v>0.5747</v>
      </c>
    </row>
    <row r="272">
      <c r="A272" s="2" t="s">
        <v>15</v>
      </c>
      <c r="B272" s="2" t="s">
        <v>37</v>
      </c>
      <c r="C272" s="2" t="s">
        <v>5</v>
      </c>
      <c r="D272" s="14">
        <v>5454.0</v>
      </c>
      <c r="E272" s="15" t="str">
        <f t="shared" si="1"/>
        <v>LBP_256_12r.csvKnn270/30</v>
      </c>
      <c r="F272" s="15">
        <f t="shared" si="2"/>
        <v>0.5454</v>
      </c>
    </row>
    <row r="273">
      <c r="A273" s="2" t="s">
        <v>15</v>
      </c>
      <c r="B273" s="2" t="s">
        <v>37</v>
      </c>
      <c r="C273" s="2" t="s">
        <v>6</v>
      </c>
      <c r="D273" s="14">
        <v>5837.0</v>
      </c>
      <c r="E273" s="15" t="str">
        <f t="shared" si="1"/>
        <v>LBP_256_12r.csvKnn370/30</v>
      </c>
      <c r="F273" s="15">
        <f t="shared" si="2"/>
        <v>0.5837</v>
      </c>
    </row>
    <row r="274">
      <c r="A274" s="2" t="s">
        <v>15</v>
      </c>
      <c r="B274" s="2" t="s">
        <v>37</v>
      </c>
      <c r="C274" s="2" t="s">
        <v>7</v>
      </c>
      <c r="D274" s="14">
        <v>5701.0</v>
      </c>
      <c r="E274" s="15" t="str">
        <f t="shared" si="1"/>
        <v>LBP_256_12r.csvKnn470/30</v>
      </c>
      <c r="F274" s="15">
        <f t="shared" si="2"/>
        <v>0.5701</v>
      </c>
    </row>
    <row r="275">
      <c r="A275" s="2" t="s">
        <v>15</v>
      </c>
      <c r="B275" s="2" t="s">
        <v>37</v>
      </c>
      <c r="C275" s="2" t="s">
        <v>8</v>
      </c>
      <c r="D275" s="14">
        <v>6114.0</v>
      </c>
      <c r="E275" s="15" t="str">
        <f t="shared" si="1"/>
        <v>LBP_256_12r.csvKnn570/30</v>
      </c>
      <c r="F275" s="15">
        <f t="shared" si="2"/>
        <v>0.6114</v>
      </c>
    </row>
    <row r="276">
      <c r="A276" s="2" t="s">
        <v>15</v>
      </c>
      <c r="B276" s="2" t="s">
        <v>37</v>
      </c>
      <c r="C276" s="2" t="s">
        <v>9</v>
      </c>
      <c r="D276" s="14">
        <v>6073.0</v>
      </c>
      <c r="E276" s="15" t="str">
        <f t="shared" si="1"/>
        <v>LBP_256_12r.csvKnn670/30</v>
      </c>
      <c r="F276" s="15">
        <f t="shared" si="2"/>
        <v>0.6073</v>
      </c>
    </row>
    <row r="277">
      <c r="A277" s="2" t="s">
        <v>15</v>
      </c>
      <c r="B277" s="2" t="s">
        <v>37</v>
      </c>
      <c r="C277" s="2" t="s">
        <v>10</v>
      </c>
      <c r="D277" s="14">
        <v>6251.0</v>
      </c>
      <c r="E277" s="15" t="str">
        <f t="shared" si="1"/>
        <v>LBP_256_12r.csvKnn770/30</v>
      </c>
      <c r="F277" s="15">
        <f t="shared" si="2"/>
        <v>0.6251</v>
      </c>
    </row>
    <row r="278">
      <c r="A278" s="2" t="s">
        <v>15</v>
      </c>
      <c r="B278" s="2" t="s">
        <v>37</v>
      </c>
      <c r="C278" s="2" t="s">
        <v>11</v>
      </c>
      <c r="D278" s="14">
        <v>6250.0</v>
      </c>
      <c r="E278" s="15" t="str">
        <f t="shared" si="1"/>
        <v>LBP_256_12r.csvKnn870/30</v>
      </c>
      <c r="F278" s="15">
        <f t="shared" si="2"/>
        <v>0.625</v>
      </c>
    </row>
    <row r="279">
      <c r="A279" s="2" t="s">
        <v>15</v>
      </c>
      <c r="B279" s="2" t="s">
        <v>37</v>
      </c>
      <c r="C279" s="2" t="s">
        <v>12</v>
      </c>
      <c r="D279" s="14">
        <v>6245.0</v>
      </c>
      <c r="E279" s="15" t="str">
        <f t="shared" si="1"/>
        <v>LBP_256_12r.csvKnn970/30</v>
      </c>
      <c r="F279" s="15">
        <f t="shared" si="2"/>
        <v>0.6245</v>
      </c>
    </row>
    <row r="280">
      <c r="A280" s="2" t="s">
        <v>15</v>
      </c>
      <c r="B280" s="2" t="s">
        <v>37</v>
      </c>
      <c r="C280" s="2" t="s">
        <v>13</v>
      </c>
      <c r="D280" s="14">
        <v>6170.0</v>
      </c>
      <c r="E280" s="15" t="str">
        <f t="shared" si="1"/>
        <v>LBP_256_12r.csvKnn1070/30</v>
      </c>
      <c r="F280" s="15">
        <f t="shared" si="2"/>
        <v>0.617</v>
      </c>
    </row>
    <row r="281">
      <c r="A281" s="2" t="s">
        <v>15</v>
      </c>
      <c r="B281" s="2" t="s">
        <v>47</v>
      </c>
      <c r="C281" s="2" t="s">
        <v>4</v>
      </c>
      <c r="D281" s="14">
        <v>5614.0</v>
      </c>
      <c r="E281" s="15" t="str">
        <f t="shared" si="1"/>
        <v>LBP_256_12r_PCA75.csvKnn170/30</v>
      </c>
      <c r="F281" s="15">
        <f t="shared" si="2"/>
        <v>0.5614</v>
      </c>
    </row>
    <row r="282">
      <c r="A282" s="2" t="s">
        <v>15</v>
      </c>
      <c r="B282" s="2" t="s">
        <v>47</v>
      </c>
      <c r="C282" s="2" t="s">
        <v>5</v>
      </c>
      <c r="D282" s="14">
        <v>5096.0</v>
      </c>
      <c r="E282" s="15" t="str">
        <f t="shared" si="1"/>
        <v>LBP_256_12r_PCA75.csvKnn270/30</v>
      </c>
      <c r="F282" s="15">
        <f t="shared" si="2"/>
        <v>0.5096</v>
      </c>
    </row>
    <row r="283">
      <c r="A283" s="2" t="s">
        <v>15</v>
      </c>
      <c r="B283" s="2" t="s">
        <v>47</v>
      </c>
      <c r="C283" s="2" t="s">
        <v>6</v>
      </c>
      <c r="D283" s="14">
        <v>5706.0</v>
      </c>
      <c r="E283" s="15" t="str">
        <f t="shared" si="1"/>
        <v>LBP_256_12r_PCA75.csvKnn370/30</v>
      </c>
      <c r="F283" s="15">
        <f t="shared" si="2"/>
        <v>0.5706</v>
      </c>
    </row>
    <row r="284">
      <c r="A284" s="2" t="s">
        <v>15</v>
      </c>
      <c r="B284" s="2" t="s">
        <v>47</v>
      </c>
      <c r="C284" s="2" t="s">
        <v>7</v>
      </c>
      <c r="D284" s="14">
        <v>5492.0</v>
      </c>
      <c r="E284" s="15" t="str">
        <f t="shared" si="1"/>
        <v>LBP_256_12r_PCA75.csvKnn470/30</v>
      </c>
      <c r="F284" s="15">
        <f t="shared" si="2"/>
        <v>0.5492</v>
      </c>
    </row>
    <row r="285">
      <c r="A285" s="2" t="s">
        <v>15</v>
      </c>
      <c r="B285" s="2" t="s">
        <v>47</v>
      </c>
      <c r="C285" s="2" t="s">
        <v>8</v>
      </c>
      <c r="D285" s="14">
        <v>5747.0</v>
      </c>
      <c r="E285" s="15" t="str">
        <f t="shared" si="1"/>
        <v>LBP_256_12r_PCA75.csvKnn570/30</v>
      </c>
      <c r="F285" s="15">
        <f t="shared" si="2"/>
        <v>0.5747</v>
      </c>
    </row>
    <row r="286">
      <c r="A286" s="2" t="s">
        <v>15</v>
      </c>
      <c r="B286" s="2" t="s">
        <v>47</v>
      </c>
      <c r="C286" s="2" t="s">
        <v>9</v>
      </c>
      <c r="D286" s="14">
        <v>5517.0</v>
      </c>
      <c r="E286" s="15" t="str">
        <f t="shared" si="1"/>
        <v>LBP_256_12r_PCA75.csvKnn670/30</v>
      </c>
      <c r="F286" s="15">
        <f t="shared" si="2"/>
        <v>0.5517</v>
      </c>
    </row>
    <row r="287">
      <c r="A287" s="2" t="s">
        <v>15</v>
      </c>
      <c r="B287" s="2" t="s">
        <v>47</v>
      </c>
      <c r="C287" s="2" t="s">
        <v>10</v>
      </c>
      <c r="D287" s="14">
        <v>5706.0</v>
      </c>
      <c r="E287" s="15" t="str">
        <f t="shared" si="1"/>
        <v>LBP_256_12r_PCA75.csvKnn770/30</v>
      </c>
      <c r="F287" s="15">
        <f t="shared" si="2"/>
        <v>0.5706</v>
      </c>
    </row>
    <row r="288">
      <c r="A288" s="2" t="s">
        <v>15</v>
      </c>
      <c r="B288" s="2" t="s">
        <v>47</v>
      </c>
      <c r="C288" s="2" t="s">
        <v>11</v>
      </c>
      <c r="D288" s="14">
        <v>5730.0</v>
      </c>
      <c r="E288" s="15" t="str">
        <f t="shared" si="1"/>
        <v>LBP_256_12r_PCA75.csvKnn870/30</v>
      </c>
      <c r="F288" s="15">
        <f t="shared" si="2"/>
        <v>0.573</v>
      </c>
    </row>
    <row r="289">
      <c r="A289" s="2" t="s">
        <v>15</v>
      </c>
      <c r="B289" s="2" t="s">
        <v>47</v>
      </c>
      <c r="C289" s="2" t="s">
        <v>12</v>
      </c>
      <c r="D289" s="14">
        <v>5747.0</v>
      </c>
      <c r="E289" s="15" t="str">
        <f t="shared" si="1"/>
        <v>LBP_256_12r_PCA75.csvKnn970/30</v>
      </c>
      <c r="F289" s="15">
        <f t="shared" si="2"/>
        <v>0.5747</v>
      </c>
    </row>
    <row r="290">
      <c r="A290" s="2" t="s">
        <v>15</v>
      </c>
      <c r="B290" s="2" t="s">
        <v>47</v>
      </c>
      <c r="C290" s="2" t="s">
        <v>13</v>
      </c>
      <c r="D290" s="14">
        <v>5748.0</v>
      </c>
      <c r="E290" s="15" t="str">
        <f t="shared" si="1"/>
        <v>LBP_256_12r_PCA75.csvKnn1070/30</v>
      </c>
      <c r="F290" s="15">
        <f t="shared" si="2"/>
        <v>0.5748</v>
      </c>
    </row>
    <row r="291">
      <c r="A291" s="2" t="s">
        <v>15</v>
      </c>
      <c r="B291" s="2" t="s">
        <v>38</v>
      </c>
      <c r="C291" s="2" t="s">
        <v>4</v>
      </c>
      <c r="D291" s="14">
        <v>6067.0</v>
      </c>
      <c r="E291" s="15" t="str">
        <f t="shared" si="1"/>
        <v>LBP_256_12r_PCA90.csvKnn170/30</v>
      </c>
      <c r="F291" s="15">
        <f t="shared" si="2"/>
        <v>0.6067</v>
      </c>
    </row>
    <row r="292">
      <c r="A292" s="2" t="s">
        <v>15</v>
      </c>
      <c r="B292" s="2" t="s">
        <v>38</v>
      </c>
      <c r="C292" s="2" t="s">
        <v>5</v>
      </c>
      <c r="D292" s="14">
        <v>5640.0</v>
      </c>
      <c r="E292" s="15" t="str">
        <f t="shared" si="1"/>
        <v>LBP_256_12r_PCA90.csvKnn270/30</v>
      </c>
      <c r="F292" s="15">
        <f t="shared" si="2"/>
        <v>0.564</v>
      </c>
    </row>
    <row r="293">
      <c r="A293" s="2" t="s">
        <v>15</v>
      </c>
      <c r="B293" s="2" t="s">
        <v>38</v>
      </c>
      <c r="C293" s="2" t="s">
        <v>6</v>
      </c>
      <c r="D293" s="14">
        <v>5803.0</v>
      </c>
      <c r="E293" s="15" t="str">
        <f t="shared" si="1"/>
        <v>LBP_256_12r_PCA90.csvKnn370/30</v>
      </c>
      <c r="F293" s="15">
        <f t="shared" si="2"/>
        <v>0.5803</v>
      </c>
    </row>
    <row r="294">
      <c r="A294" s="2" t="s">
        <v>15</v>
      </c>
      <c r="B294" s="2" t="s">
        <v>38</v>
      </c>
      <c r="C294" s="2" t="s">
        <v>7</v>
      </c>
      <c r="D294" s="14">
        <v>5773.0</v>
      </c>
      <c r="E294" s="15" t="str">
        <f t="shared" si="1"/>
        <v>LBP_256_12r_PCA90.csvKnn470/30</v>
      </c>
      <c r="F294" s="15">
        <f t="shared" si="2"/>
        <v>0.5773</v>
      </c>
    </row>
    <row r="295">
      <c r="A295" s="2" t="s">
        <v>15</v>
      </c>
      <c r="B295" s="2" t="s">
        <v>38</v>
      </c>
      <c r="C295" s="2" t="s">
        <v>8</v>
      </c>
      <c r="D295" s="14">
        <v>6016.0</v>
      </c>
      <c r="E295" s="15" t="str">
        <f t="shared" si="1"/>
        <v>LBP_256_12r_PCA90.csvKnn570/30</v>
      </c>
      <c r="F295" s="15">
        <f t="shared" si="2"/>
        <v>0.6016</v>
      </c>
    </row>
    <row r="296">
      <c r="A296" s="2" t="s">
        <v>15</v>
      </c>
      <c r="B296" s="2" t="s">
        <v>38</v>
      </c>
      <c r="C296" s="2" t="s">
        <v>9</v>
      </c>
      <c r="D296" s="14">
        <v>6031.0</v>
      </c>
      <c r="E296" s="15" t="str">
        <f t="shared" si="1"/>
        <v>LBP_256_12r_PCA90.csvKnn670/30</v>
      </c>
      <c r="F296" s="15">
        <f t="shared" si="2"/>
        <v>0.6031</v>
      </c>
    </row>
    <row r="297">
      <c r="A297" s="2" t="s">
        <v>15</v>
      </c>
      <c r="B297" s="2" t="s">
        <v>38</v>
      </c>
      <c r="C297" s="2" t="s">
        <v>10</v>
      </c>
      <c r="D297" s="14">
        <v>6078.0</v>
      </c>
      <c r="E297" s="15" t="str">
        <f t="shared" si="1"/>
        <v>LBP_256_12r_PCA90.csvKnn770/30</v>
      </c>
      <c r="F297" s="15">
        <f t="shared" si="2"/>
        <v>0.6078</v>
      </c>
    </row>
    <row r="298">
      <c r="A298" s="2" t="s">
        <v>15</v>
      </c>
      <c r="B298" s="2" t="s">
        <v>38</v>
      </c>
      <c r="C298" s="2" t="s">
        <v>11</v>
      </c>
      <c r="D298" s="14">
        <v>6087.0</v>
      </c>
      <c r="E298" s="15" t="str">
        <f t="shared" si="1"/>
        <v>LBP_256_12r_PCA90.csvKnn870/30</v>
      </c>
      <c r="F298" s="15">
        <f t="shared" si="2"/>
        <v>0.6087</v>
      </c>
    </row>
    <row r="299">
      <c r="A299" s="2" t="s">
        <v>15</v>
      </c>
      <c r="B299" s="2" t="s">
        <v>38</v>
      </c>
      <c r="C299" s="2" t="s">
        <v>12</v>
      </c>
      <c r="D299" s="14">
        <v>6140.0</v>
      </c>
      <c r="E299" s="15" t="str">
        <f t="shared" si="1"/>
        <v>LBP_256_12r_PCA90.csvKnn970/30</v>
      </c>
      <c r="F299" s="15">
        <f t="shared" si="2"/>
        <v>0.614</v>
      </c>
    </row>
    <row r="300">
      <c r="A300" s="2" t="s">
        <v>15</v>
      </c>
      <c r="B300" s="2" t="s">
        <v>38</v>
      </c>
      <c r="C300" s="2" t="s">
        <v>13</v>
      </c>
      <c r="D300" s="14">
        <v>6171.0</v>
      </c>
      <c r="E300" s="15" t="str">
        <f t="shared" si="1"/>
        <v>LBP_256_12r_PCA90.csvKnn1070/30</v>
      </c>
      <c r="F300" s="15">
        <f t="shared" si="2"/>
        <v>0.6171</v>
      </c>
    </row>
    <row r="301">
      <c r="A301" s="2" t="s">
        <v>15</v>
      </c>
      <c r="B301" s="2" t="s">
        <v>48</v>
      </c>
      <c r="C301" s="2" t="s">
        <v>4</v>
      </c>
      <c r="D301" s="14">
        <v>5597.0</v>
      </c>
      <c r="E301" s="15" t="str">
        <f t="shared" si="1"/>
        <v>LBP_256_3r.csvKnn170/30</v>
      </c>
      <c r="F301" s="15">
        <f t="shared" si="2"/>
        <v>0.5597</v>
      </c>
    </row>
    <row r="302">
      <c r="A302" s="2" t="s">
        <v>15</v>
      </c>
      <c r="B302" s="2" t="s">
        <v>48</v>
      </c>
      <c r="C302" s="2" t="s">
        <v>5</v>
      </c>
      <c r="D302" s="14">
        <v>5364.0</v>
      </c>
      <c r="E302" s="15" t="str">
        <f t="shared" si="1"/>
        <v>LBP_256_3r.csvKnn270/30</v>
      </c>
      <c r="F302" s="15">
        <f t="shared" si="2"/>
        <v>0.5364</v>
      </c>
    </row>
    <row r="303">
      <c r="A303" s="2" t="s">
        <v>15</v>
      </c>
      <c r="B303" s="2" t="s">
        <v>48</v>
      </c>
      <c r="C303" s="2" t="s">
        <v>6</v>
      </c>
      <c r="D303" s="14">
        <v>5612.0</v>
      </c>
      <c r="E303" s="15" t="str">
        <f t="shared" si="1"/>
        <v>LBP_256_3r.csvKnn370/30</v>
      </c>
      <c r="F303" s="15">
        <f t="shared" si="2"/>
        <v>0.5612</v>
      </c>
    </row>
    <row r="304">
      <c r="A304" s="2" t="s">
        <v>15</v>
      </c>
      <c r="B304" s="2" t="s">
        <v>48</v>
      </c>
      <c r="C304" s="2" t="s">
        <v>7</v>
      </c>
      <c r="D304" s="14">
        <v>5608.0</v>
      </c>
      <c r="E304" s="15" t="str">
        <f t="shared" si="1"/>
        <v>LBP_256_3r.csvKnn470/30</v>
      </c>
      <c r="F304" s="15">
        <f t="shared" si="2"/>
        <v>0.5608</v>
      </c>
    </row>
    <row r="305">
      <c r="A305" s="2" t="s">
        <v>15</v>
      </c>
      <c r="B305" s="2" t="s">
        <v>48</v>
      </c>
      <c r="C305" s="2" t="s">
        <v>8</v>
      </c>
      <c r="D305" s="14">
        <v>5763.0</v>
      </c>
      <c r="E305" s="15" t="str">
        <f t="shared" si="1"/>
        <v>LBP_256_3r.csvKnn570/30</v>
      </c>
      <c r="F305" s="15">
        <f t="shared" si="2"/>
        <v>0.5763</v>
      </c>
    </row>
    <row r="306">
      <c r="A306" s="2" t="s">
        <v>15</v>
      </c>
      <c r="B306" s="2" t="s">
        <v>48</v>
      </c>
      <c r="C306" s="2" t="s">
        <v>9</v>
      </c>
      <c r="D306" s="14">
        <v>5756.0</v>
      </c>
      <c r="E306" s="15" t="str">
        <f t="shared" si="1"/>
        <v>LBP_256_3r.csvKnn670/30</v>
      </c>
      <c r="F306" s="15">
        <f t="shared" si="2"/>
        <v>0.5756</v>
      </c>
    </row>
    <row r="307">
      <c r="A307" s="2" t="s">
        <v>15</v>
      </c>
      <c r="B307" s="2" t="s">
        <v>48</v>
      </c>
      <c r="C307" s="2" t="s">
        <v>10</v>
      </c>
      <c r="D307" s="14">
        <v>5731.0</v>
      </c>
      <c r="E307" s="15" t="str">
        <f t="shared" si="1"/>
        <v>LBP_256_3r.csvKnn770/30</v>
      </c>
      <c r="F307" s="15">
        <f t="shared" si="2"/>
        <v>0.5731</v>
      </c>
    </row>
    <row r="308">
      <c r="A308" s="2" t="s">
        <v>15</v>
      </c>
      <c r="B308" s="2" t="s">
        <v>48</v>
      </c>
      <c r="C308" s="2" t="s">
        <v>11</v>
      </c>
      <c r="D308" s="14">
        <v>5756.0</v>
      </c>
      <c r="E308" s="15" t="str">
        <f t="shared" si="1"/>
        <v>LBP_256_3r.csvKnn870/30</v>
      </c>
      <c r="F308" s="15">
        <f t="shared" si="2"/>
        <v>0.5756</v>
      </c>
    </row>
    <row r="309">
      <c r="A309" s="2" t="s">
        <v>15</v>
      </c>
      <c r="B309" s="2" t="s">
        <v>48</v>
      </c>
      <c r="C309" s="2" t="s">
        <v>12</v>
      </c>
      <c r="D309" s="14">
        <v>5822.0</v>
      </c>
      <c r="E309" s="15" t="str">
        <f t="shared" si="1"/>
        <v>LBP_256_3r.csvKnn970/30</v>
      </c>
      <c r="F309" s="15">
        <f t="shared" si="2"/>
        <v>0.5822</v>
      </c>
    </row>
    <row r="310">
      <c r="A310" s="2" t="s">
        <v>15</v>
      </c>
      <c r="B310" s="2" t="s">
        <v>48</v>
      </c>
      <c r="C310" s="2" t="s">
        <v>13</v>
      </c>
      <c r="D310" s="14">
        <v>5959.0</v>
      </c>
      <c r="E310" s="15" t="str">
        <f t="shared" si="1"/>
        <v>LBP_256_3r.csvKnn1070/30</v>
      </c>
      <c r="F310" s="15">
        <f t="shared" si="2"/>
        <v>0.5959</v>
      </c>
    </row>
    <row r="311">
      <c r="A311" s="2" t="s">
        <v>15</v>
      </c>
      <c r="B311" s="2" t="s">
        <v>49</v>
      </c>
      <c r="C311" s="2" t="s">
        <v>4</v>
      </c>
      <c r="D311" s="14">
        <v>5379.0</v>
      </c>
      <c r="E311" s="15" t="str">
        <f t="shared" si="1"/>
        <v>LBP_256_3r_PCA75.csvKnn170/30</v>
      </c>
      <c r="F311" s="15">
        <f t="shared" si="2"/>
        <v>0.5379</v>
      </c>
    </row>
    <row r="312">
      <c r="A312" s="2" t="s">
        <v>15</v>
      </c>
      <c r="B312" s="2" t="s">
        <v>49</v>
      </c>
      <c r="C312" s="2" t="s">
        <v>5</v>
      </c>
      <c r="D312" s="14">
        <v>5087.0</v>
      </c>
      <c r="E312" s="15" t="str">
        <f t="shared" si="1"/>
        <v>LBP_256_3r_PCA75.csvKnn270/30</v>
      </c>
      <c r="F312" s="15">
        <f t="shared" si="2"/>
        <v>0.5087</v>
      </c>
    </row>
    <row r="313">
      <c r="A313" s="2" t="s">
        <v>15</v>
      </c>
      <c r="B313" s="2" t="s">
        <v>49</v>
      </c>
      <c r="C313" s="2" t="s">
        <v>6</v>
      </c>
      <c r="D313" s="14">
        <v>5580.0</v>
      </c>
      <c r="E313" s="15" t="str">
        <f t="shared" si="1"/>
        <v>LBP_256_3r_PCA75.csvKnn370/30</v>
      </c>
      <c r="F313" s="15">
        <f t="shared" si="2"/>
        <v>0.558</v>
      </c>
    </row>
    <row r="314">
      <c r="A314" s="2" t="s">
        <v>15</v>
      </c>
      <c r="B314" s="2" t="s">
        <v>49</v>
      </c>
      <c r="C314" s="2" t="s">
        <v>7</v>
      </c>
      <c r="D314" s="14">
        <v>5314.0</v>
      </c>
      <c r="E314" s="15" t="str">
        <f t="shared" si="1"/>
        <v>LBP_256_3r_PCA75.csvKnn470/30</v>
      </c>
      <c r="F314" s="15">
        <f t="shared" si="2"/>
        <v>0.5314</v>
      </c>
    </row>
    <row r="315">
      <c r="A315" s="2" t="s">
        <v>15</v>
      </c>
      <c r="B315" s="2" t="s">
        <v>49</v>
      </c>
      <c r="C315" s="2" t="s">
        <v>8</v>
      </c>
      <c r="D315" s="14">
        <v>5608.0</v>
      </c>
      <c r="E315" s="15" t="str">
        <f t="shared" si="1"/>
        <v>LBP_256_3r_PCA75.csvKnn570/30</v>
      </c>
      <c r="F315" s="15">
        <f t="shared" si="2"/>
        <v>0.5608</v>
      </c>
    </row>
    <row r="316">
      <c r="A316" s="2" t="s">
        <v>15</v>
      </c>
      <c r="B316" s="2" t="s">
        <v>49</v>
      </c>
      <c r="C316" s="2" t="s">
        <v>9</v>
      </c>
      <c r="D316" s="14">
        <v>5469.0</v>
      </c>
      <c r="E316" s="15" t="str">
        <f t="shared" si="1"/>
        <v>LBP_256_3r_PCA75.csvKnn670/30</v>
      </c>
      <c r="F316" s="15">
        <f t="shared" si="2"/>
        <v>0.5469</v>
      </c>
    </row>
    <row r="317">
      <c r="A317" s="2" t="s">
        <v>15</v>
      </c>
      <c r="B317" s="2" t="s">
        <v>49</v>
      </c>
      <c r="C317" s="2" t="s">
        <v>10</v>
      </c>
      <c r="D317" s="14">
        <v>5710.0</v>
      </c>
      <c r="E317" s="15" t="str">
        <f t="shared" si="1"/>
        <v>LBP_256_3r_PCA75.csvKnn770/30</v>
      </c>
      <c r="F317" s="15">
        <f t="shared" si="2"/>
        <v>0.571</v>
      </c>
    </row>
    <row r="318">
      <c r="A318" s="2" t="s">
        <v>15</v>
      </c>
      <c r="B318" s="2" t="s">
        <v>49</v>
      </c>
      <c r="C318" s="2" t="s">
        <v>11</v>
      </c>
      <c r="D318" s="14">
        <v>5555.0</v>
      </c>
      <c r="E318" s="15" t="str">
        <f t="shared" si="1"/>
        <v>LBP_256_3r_PCA75.csvKnn870/30</v>
      </c>
      <c r="F318" s="15">
        <f t="shared" si="2"/>
        <v>0.5555</v>
      </c>
    </row>
    <row r="319">
      <c r="A319" s="2" t="s">
        <v>15</v>
      </c>
      <c r="B319" s="2" t="s">
        <v>49</v>
      </c>
      <c r="C319" s="2" t="s">
        <v>12</v>
      </c>
      <c r="D319" s="14">
        <v>5795.0</v>
      </c>
      <c r="E319" s="15" t="str">
        <f t="shared" si="1"/>
        <v>LBP_256_3r_PCA75.csvKnn970/30</v>
      </c>
      <c r="F319" s="15">
        <f t="shared" si="2"/>
        <v>0.5795</v>
      </c>
    </row>
    <row r="320">
      <c r="A320" s="2" t="s">
        <v>15</v>
      </c>
      <c r="B320" s="2" t="s">
        <v>49</v>
      </c>
      <c r="C320" s="2" t="s">
        <v>13</v>
      </c>
      <c r="D320" s="14">
        <v>5643.0</v>
      </c>
      <c r="E320" s="15" t="str">
        <f t="shared" si="1"/>
        <v>LBP_256_3r_PCA75.csvKnn1070/30</v>
      </c>
      <c r="F320" s="15">
        <f t="shared" si="2"/>
        <v>0.5643</v>
      </c>
    </row>
    <row r="321">
      <c r="A321" s="2" t="s">
        <v>15</v>
      </c>
      <c r="B321" s="2" t="s">
        <v>50</v>
      </c>
      <c r="C321" s="2" t="s">
        <v>4</v>
      </c>
      <c r="D321" s="14">
        <v>5740.0</v>
      </c>
      <c r="E321" s="15" t="str">
        <f t="shared" si="1"/>
        <v>LBP_256_3r_PCA90.csvKnn170/30</v>
      </c>
      <c r="F321" s="15">
        <f t="shared" si="2"/>
        <v>0.574</v>
      </c>
    </row>
    <row r="322">
      <c r="A322" s="2" t="s">
        <v>15</v>
      </c>
      <c r="B322" s="2" t="s">
        <v>50</v>
      </c>
      <c r="C322" s="2" t="s">
        <v>5</v>
      </c>
      <c r="D322" s="14">
        <v>5291.0</v>
      </c>
      <c r="E322" s="15" t="str">
        <f t="shared" si="1"/>
        <v>LBP_256_3r_PCA90.csvKnn270/30</v>
      </c>
      <c r="F322" s="15">
        <f t="shared" si="2"/>
        <v>0.5291</v>
      </c>
    </row>
    <row r="323">
      <c r="A323" s="2" t="s">
        <v>15</v>
      </c>
      <c r="B323" s="2" t="s">
        <v>50</v>
      </c>
      <c r="C323" s="2" t="s">
        <v>6</v>
      </c>
      <c r="D323" s="14">
        <v>5727.0</v>
      </c>
      <c r="E323" s="15" t="str">
        <f t="shared" si="1"/>
        <v>LBP_256_3r_PCA90.csvKnn370/30</v>
      </c>
      <c r="F323" s="15">
        <f t="shared" si="2"/>
        <v>0.5727</v>
      </c>
    </row>
    <row r="324">
      <c r="A324" s="2" t="s">
        <v>15</v>
      </c>
      <c r="B324" s="2" t="s">
        <v>50</v>
      </c>
      <c r="C324" s="2" t="s">
        <v>7</v>
      </c>
      <c r="D324" s="14">
        <v>5607.0</v>
      </c>
      <c r="E324" s="15" t="str">
        <f t="shared" si="1"/>
        <v>LBP_256_3r_PCA90.csvKnn470/30</v>
      </c>
      <c r="F324" s="15">
        <f t="shared" si="2"/>
        <v>0.5607</v>
      </c>
    </row>
    <row r="325">
      <c r="A325" s="2" t="s">
        <v>15</v>
      </c>
      <c r="B325" s="2" t="s">
        <v>50</v>
      </c>
      <c r="C325" s="2" t="s">
        <v>8</v>
      </c>
      <c r="D325" s="14">
        <v>5854.0</v>
      </c>
      <c r="E325" s="15" t="str">
        <f t="shared" si="1"/>
        <v>LBP_256_3r_PCA90.csvKnn570/30</v>
      </c>
      <c r="F325" s="15">
        <f t="shared" si="2"/>
        <v>0.5854</v>
      </c>
    </row>
    <row r="326">
      <c r="A326" s="2" t="s">
        <v>15</v>
      </c>
      <c r="B326" s="2" t="s">
        <v>50</v>
      </c>
      <c r="C326" s="2" t="s">
        <v>9</v>
      </c>
      <c r="D326" s="14">
        <v>5899.0</v>
      </c>
      <c r="E326" s="15" t="str">
        <f t="shared" si="1"/>
        <v>LBP_256_3r_PCA90.csvKnn670/30</v>
      </c>
      <c r="F326" s="15">
        <f t="shared" si="2"/>
        <v>0.5899</v>
      </c>
    </row>
    <row r="327">
      <c r="A327" s="2" t="s">
        <v>15</v>
      </c>
      <c r="B327" s="2" t="s">
        <v>50</v>
      </c>
      <c r="C327" s="2" t="s">
        <v>10</v>
      </c>
      <c r="D327" s="14">
        <v>5975.0</v>
      </c>
      <c r="E327" s="15" t="str">
        <f t="shared" si="1"/>
        <v>LBP_256_3r_PCA90.csvKnn770/30</v>
      </c>
      <c r="F327" s="15">
        <f t="shared" si="2"/>
        <v>0.5975</v>
      </c>
    </row>
    <row r="328">
      <c r="A328" s="2" t="s">
        <v>15</v>
      </c>
      <c r="B328" s="2" t="s">
        <v>50</v>
      </c>
      <c r="C328" s="2" t="s">
        <v>11</v>
      </c>
      <c r="D328" s="14">
        <v>5831.0</v>
      </c>
      <c r="E328" s="15" t="str">
        <f t="shared" si="1"/>
        <v>LBP_256_3r_PCA90.csvKnn870/30</v>
      </c>
      <c r="F328" s="15">
        <f t="shared" si="2"/>
        <v>0.5831</v>
      </c>
    </row>
    <row r="329">
      <c r="A329" s="2" t="s">
        <v>15</v>
      </c>
      <c r="B329" s="2" t="s">
        <v>50</v>
      </c>
      <c r="C329" s="2" t="s">
        <v>12</v>
      </c>
      <c r="D329" s="14">
        <v>5948.0</v>
      </c>
      <c r="E329" s="15" t="str">
        <f t="shared" si="1"/>
        <v>LBP_256_3r_PCA90.csvKnn970/30</v>
      </c>
      <c r="F329" s="15">
        <f t="shared" si="2"/>
        <v>0.5948</v>
      </c>
    </row>
    <row r="330">
      <c r="A330" s="2" t="s">
        <v>15</v>
      </c>
      <c r="B330" s="2" t="s">
        <v>50</v>
      </c>
      <c r="C330" s="2" t="s">
        <v>13</v>
      </c>
      <c r="D330" s="14">
        <v>6018.0</v>
      </c>
      <c r="E330" s="15" t="str">
        <f t="shared" si="1"/>
        <v>LBP_256_3r_PCA90.csvKnn1070/30</v>
      </c>
      <c r="F330" s="15">
        <f t="shared" si="2"/>
        <v>0.6018</v>
      </c>
    </row>
    <row r="331">
      <c r="A331" s="2" t="s">
        <v>15</v>
      </c>
      <c r="B331" s="2" t="s">
        <v>39</v>
      </c>
      <c r="C331" s="2" t="s">
        <v>4</v>
      </c>
      <c r="D331" s="14">
        <v>5880.0</v>
      </c>
      <c r="E331" s="15" t="str">
        <f t="shared" si="1"/>
        <v>LBP_256_6r.csvKnn170/30</v>
      </c>
      <c r="F331" s="15">
        <f t="shared" si="2"/>
        <v>0.588</v>
      </c>
    </row>
    <row r="332">
      <c r="A332" s="2" t="s">
        <v>15</v>
      </c>
      <c r="B332" s="2" t="s">
        <v>39</v>
      </c>
      <c r="C332" s="2" t="s">
        <v>5</v>
      </c>
      <c r="D332" s="14">
        <v>5748.0</v>
      </c>
      <c r="E332" s="15" t="str">
        <f t="shared" si="1"/>
        <v>LBP_256_6r.csvKnn270/30</v>
      </c>
      <c r="F332" s="15">
        <f t="shared" si="2"/>
        <v>0.5748</v>
      </c>
    </row>
    <row r="333">
      <c r="A333" s="2" t="s">
        <v>15</v>
      </c>
      <c r="B333" s="2" t="s">
        <v>39</v>
      </c>
      <c r="C333" s="2" t="s">
        <v>6</v>
      </c>
      <c r="D333" s="14">
        <v>6206.0</v>
      </c>
      <c r="E333" s="15" t="str">
        <f t="shared" si="1"/>
        <v>LBP_256_6r.csvKnn370/30</v>
      </c>
      <c r="F333" s="15">
        <f t="shared" si="2"/>
        <v>0.6206</v>
      </c>
    </row>
    <row r="334">
      <c r="A334" s="2" t="s">
        <v>15</v>
      </c>
      <c r="B334" s="2" t="s">
        <v>39</v>
      </c>
      <c r="C334" s="2" t="s">
        <v>7</v>
      </c>
      <c r="D334" s="14">
        <v>5932.0</v>
      </c>
      <c r="E334" s="15" t="str">
        <f t="shared" si="1"/>
        <v>LBP_256_6r.csvKnn470/30</v>
      </c>
      <c r="F334" s="15">
        <f t="shared" si="2"/>
        <v>0.5932</v>
      </c>
    </row>
    <row r="335">
      <c r="A335" s="2" t="s">
        <v>15</v>
      </c>
      <c r="B335" s="2" t="s">
        <v>39</v>
      </c>
      <c r="C335" s="2" t="s">
        <v>8</v>
      </c>
      <c r="D335" s="14">
        <v>6213.0</v>
      </c>
      <c r="E335" s="15" t="str">
        <f t="shared" si="1"/>
        <v>LBP_256_6r.csvKnn570/30</v>
      </c>
      <c r="F335" s="15">
        <f t="shared" si="2"/>
        <v>0.6213</v>
      </c>
    </row>
    <row r="336">
      <c r="A336" s="2" t="s">
        <v>15</v>
      </c>
      <c r="B336" s="2" t="s">
        <v>39</v>
      </c>
      <c r="C336" s="2" t="s">
        <v>9</v>
      </c>
      <c r="D336" s="14">
        <v>6154.0</v>
      </c>
      <c r="E336" s="15" t="str">
        <f t="shared" si="1"/>
        <v>LBP_256_6r.csvKnn670/30</v>
      </c>
      <c r="F336" s="15">
        <f t="shared" si="2"/>
        <v>0.6154</v>
      </c>
    </row>
    <row r="337">
      <c r="A337" s="2" t="s">
        <v>15</v>
      </c>
      <c r="B337" s="2" t="s">
        <v>39</v>
      </c>
      <c r="C337" s="2" t="s">
        <v>10</v>
      </c>
      <c r="D337" s="14">
        <v>6191.0</v>
      </c>
      <c r="E337" s="15" t="str">
        <f t="shared" si="1"/>
        <v>LBP_256_6r.csvKnn770/30</v>
      </c>
      <c r="F337" s="15">
        <f t="shared" si="2"/>
        <v>0.6191</v>
      </c>
    </row>
    <row r="338">
      <c r="A338" s="2" t="s">
        <v>15</v>
      </c>
      <c r="B338" s="2" t="s">
        <v>39</v>
      </c>
      <c r="C338" s="2" t="s">
        <v>11</v>
      </c>
      <c r="D338" s="14">
        <v>6265.0</v>
      </c>
      <c r="E338" s="15" t="str">
        <f t="shared" si="1"/>
        <v>LBP_256_6r.csvKnn870/30</v>
      </c>
      <c r="F338" s="15">
        <f t="shared" si="2"/>
        <v>0.6265</v>
      </c>
    </row>
    <row r="339">
      <c r="A339" s="2" t="s">
        <v>15</v>
      </c>
      <c r="B339" s="2" t="s">
        <v>39</v>
      </c>
      <c r="C339" s="2" t="s">
        <v>12</v>
      </c>
      <c r="D339" s="14">
        <v>6261.0</v>
      </c>
      <c r="E339" s="15" t="str">
        <f t="shared" si="1"/>
        <v>LBP_256_6r.csvKnn970/30</v>
      </c>
      <c r="F339" s="15">
        <f t="shared" si="2"/>
        <v>0.6261</v>
      </c>
    </row>
    <row r="340">
      <c r="A340" s="2" t="s">
        <v>15</v>
      </c>
      <c r="B340" s="2" t="s">
        <v>39</v>
      </c>
      <c r="C340" s="2" t="s">
        <v>13</v>
      </c>
      <c r="D340" s="14">
        <v>6294.0</v>
      </c>
      <c r="E340" s="15" t="str">
        <f t="shared" si="1"/>
        <v>LBP_256_6r.csvKnn1070/30</v>
      </c>
      <c r="F340" s="15">
        <f t="shared" si="2"/>
        <v>0.6294</v>
      </c>
    </row>
    <row r="341">
      <c r="A341" s="2" t="s">
        <v>15</v>
      </c>
      <c r="B341" s="2" t="s">
        <v>51</v>
      </c>
      <c r="C341" s="2" t="s">
        <v>4</v>
      </c>
      <c r="D341" s="14">
        <v>5566.0</v>
      </c>
      <c r="E341" s="15" t="str">
        <f t="shared" si="1"/>
        <v>LBP_256_6r_PCA75.csvKnn170/30</v>
      </c>
      <c r="F341" s="15">
        <f t="shared" si="2"/>
        <v>0.5566</v>
      </c>
    </row>
    <row r="342">
      <c r="A342" s="2" t="s">
        <v>15</v>
      </c>
      <c r="B342" s="2" t="s">
        <v>51</v>
      </c>
      <c r="C342" s="2" t="s">
        <v>5</v>
      </c>
      <c r="D342" s="14">
        <v>5007.0</v>
      </c>
      <c r="E342" s="15" t="str">
        <f t="shared" si="1"/>
        <v>LBP_256_6r_PCA75.csvKnn270/30</v>
      </c>
      <c r="F342" s="15">
        <f t="shared" si="2"/>
        <v>0.5007</v>
      </c>
    </row>
    <row r="343">
      <c r="A343" s="2" t="s">
        <v>15</v>
      </c>
      <c r="B343" s="2" t="s">
        <v>51</v>
      </c>
      <c r="C343" s="2" t="s">
        <v>6</v>
      </c>
      <c r="D343" s="14">
        <v>5664.0</v>
      </c>
      <c r="E343" s="15" t="str">
        <f t="shared" si="1"/>
        <v>LBP_256_6r_PCA75.csvKnn370/30</v>
      </c>
      <c r="F343" s="15">
        <f t="shared" si="2"/>
        <v>0.5664</v>
      </c>
    </row>
    <row r="344">
      <c r="A344" s="2" t="s">
        <v>15</v>
      </c>
      <c r="B344" s="2" t="s">
        <v>51</v>
      </c>
      <c r="C344" s="2" t="s">
        <v>7</v>
      </c>
      <c r="D344" s="14">
        <v>5424.0</v>
      </c>
      <c r="E344" s="15" t="str">
        <f t="shared" si="1"/>
        <v>LBP_256_6r_PCA75.csvKnn470/30</v>
      </c>
      <c r="F344" s="15">
        <f t="shared" si="2"/>
        <v>0.5424</v>
      </c>
    </row>
    <row r="345">
      <c r="A345" s="2" t="s">
        <v>15</v>
      </c>
      <c r="B345" s="2" t="s">
        <v>51</v>
      </c>
      <c r="C345" s="2" t="s">
        <v>8</v>
      </c>
      <c r="D345" s="14">
        <v>5759.0</v>
      </c>
      <c r="E345" s="15" t="str">
        <f t="shared" si="1"/>
        <v>LBP_256_6r_PCA75.csvKnn570/30</v>
      </c>
      <c r="F345" s="15">
        <f t="shared" si="2"/>
        <v>0.5759</v>
      </c>
    </row>
    <row r="346">
      <c r="A346" s="2" t="s">
        <v>15</v>
      </c>
      <c r="B346" s="2" t="s">
        <v>51</v>
      </c>
      <c r="C346" s="2" t="s">
        <v>9</v>
      </c>
      <c r="D346" s="14">
        <v>5674.0</v>
      </c>
      <c r="E346" s="15" t="str">
        <f t="shared" si="1"/>
        <v>LBP_256_6r_PCA75.csvKnn670/30</v>
      </c>
      <c r="F346" s="15">
        <f t="shared" si="2"/>
        <v>0.5674</v>
      </c>
    </row>
    <row r="347">
      <c r="A347" s="2" t="s">
        <v>15</v>
      </c>
      <c r="B347" s="2" t="s">
        <v>51</v>
      </c>
      <c r="C347" s="2" t="s">
        <v>10</v>
      </c>
      <c r="D347" s="14">
        <v>5712.0</v>
      </c>
      <c r="E347" s="15" t="str">
        <f t="shared" si="1"/>
        <v>LBP_256_6r_PCA75.csvKnn770/30</v>
      </c>
      <c r="F347" s="15">
        <f t="shared" si="2"/>
        <v>0.5712</v>
      </c>
    </row>
    <row r="348">
      <c r="A348" s="2" t="s">
        <v>15</v>
      </c>
      <c r="B348" s="2" t="s">
        <v>51</v>
      </c>
      <c r="C348" s="2" t="s">
        <v>11</v>
      </c>
      <c r="D348" s="14">
        <v>5779.0</v>
      </c>
      <c r="E348" s="15" t="str">
        <f t="shared" si="1"/>
        <v>LBP_256_6r_PCA75.csvKnn870/30</v>
      </c>
      <c r="F348" s="15">
        <f t="shared" si="2"/>
        <v>0.5779</v>
      </c>
    </row>
    <row r="349">
      <c r="A349" s="2" t="s">
        <v>15</v>
      </c>
      <c r="B349" s="2" t="s">
        <v>51</v>
      </c>
      <c r="C349" s="2" t="s">
        <v>12</v>
      </c>
      <c r="D349" s="14">
        <v>5823.0</v>
      </c>
      <c r="E349" s="15" t="str">
        <f t="shared" si="1"/>
        <v>LBP_256_6r_PCA75.csvKnn970/30</v>
      </c>
      <c r="F349" s="15">
        <f t="shared" si="2"/>
        <v>0.5823</v>
      </c>
    </row>
    <row r="350">
      <c r="A350" s="2" t="s">
        <v>15</v>
      </c>
      <c r="B350" s="2" t="s">
        <v>51</v>
      </c>
      <c r="C350" s="2" t="s">
        <v>13</v>
      </c>
      <c r="D350" s="14">
        <v>5813.0</v>
      </c>
      <c r="E350" s="15" t="str">
        <f t="shared" si="1"/>
        <v>LBP_256_6r_PCA75.csvKnn1070/30</v>
      </c>
      <c r="F350" s="15">
        <f t="shared" si="2"/>
        <v>0.5813</v>
      </c>
    </row>
    <row r="351">
      <c r="A351" s="2" t="s">
        <v>15</v>
      </c>
      <c r="B351" s="2" t="s">
        <v>41</v>
      </c>
      <c r="C351" s="2" t="s">
        <v>4</v>
      </c>
      <c r="D351" s="14">
        <v>5817.0</v>
      </c>
      <c r="E351" s="15" t="str">
        <f t="shared" si="1"/>
        <v>LBP_256_6r_PCA90.csvKnn170/30</v>
      </c>
      <c r="F351" s="15">
        <f t="shared" si="2"/>
        <v>0.5817</v>
      </c>
    </row>
    <row r="352">
      <c r="A352" s="2" t="s">
        <v>15</v>
      </c>
      <c r="B352" s="2" t="s">
        <v>41</v>
      </c>
      <c r="C352" s="2" t="s">
        <v>5</v>
      </c>
      <c r="D352" s="14">
        <v>5723.0</v>
      </c>
      <c r="E352" s="15" t="str">
        <f t="shared" si="1"/>
        <v>LBP_256_6r_PCA90.csvKnn270/30</v>
      </c>
      <c r="F352" s="15">
        <f t="shared" si="2"/>
        <v>0.5723</v>
      </c>
    </row>
    <row r="353">
      <c r="A353" s="2" t="s">
        <v>15</v>
      </c>
      <c r="B353" s="2" t="s">
        <v>41</v>
      </c>
      <c r="C353" s="2" t="s">
        <v>6</v>
      </c>
      <c r="D353" s="14">
        <v>6234.0</v>
      </c>
      <c r="E353" s="15" t="str">
        <f t="shared" si="1"/>
        <v>LBP_256_6r_PCA90.csvKnn370/30</v>
      </c>
      <c r="F353" s="15">
        <f t="shared" si="2"/>
        <v>0.6234</v>
      </c>
    </row>
    <row r="354">
      <c r="A354" s="2" t="s">
        <v>15</v>
      </c>
      <c r="B354" s="2" t="s">
        <v>41</v>
      </c>
      <c r="C354" s="2" t="s">
        <v>7</v>
      </c>
      <c r="D354" s="14">
        <v>6024.0</v>
      </c>
      <c r="E354" s="15" t="str">
        <f t="shared" si="1"/>
        <v>LBP_256_6r_PCA90.csvKnn470/30</v>
      </c>
      <c r="F354" s="15">
        <f t="shared" si="2"/>
        <v>0.6024</v>
      </c>
    </row>
    <row r="355">
      <c r="A355" s="2" t="s">
        <v>15</v>
      </c>
      <c r="B355" s="2" t="s">
        <v>41</v>
      </c>
      <c r="C355" s="2" t="s">
        <v>8</v>
      </c>
      <c r="D355" s="14">
        <v>6268.0</v>
      </c>
      <c r="E355" s="15" t="str">
        <f t="shared" si="1"/>
        <v>LBP_256_6r_PCA90.csvKnn570/30</v>
      </c>
      <c r="F355" s="15">
        <f t="shared" si="2"/>
        <v>0.6268</v>
      </c>
    </row>
    <row r="356">
      <c r="A356" s="2" t="s">
        <v>15</v>
      </c>
      <c r="B356" s="2" t="s">
        <v>41</v>
      </c>
      <c r="C356" s="2" t="s">
        <v>9</v>
      </c>
      <c r="D356" s="14">
        <v>6130.0</v>
      </c>
      <c r="E356" s="15" t="str">
        <f t="shared" si="1"/>
        <v>LBP_256_6r_PCA90.csvKnn670/30</v>
      </c>
      <c r="F356" s="15">
        <f t="shared" si="2"/>
        <v>0.613</v>
      </c>
    </row>
    <row r="357">
      <c r="A357" s="2" t="s">
        <v>15</v>
      </c>
      <c r="B357" s="2" t="s">
        <v>41</v>
      </c>
      <c r="C357" s="2" t="s">
        <v>10</v>
      </c>
      <c r="D357" s="14">
        <v>6141.0</v>
      </c>
      <c r="E357" s="15" t="str">
        <f t="shared" si="1"/>
        <v>LBP_256_6r_PCA90.csvKnn770/30</v>
      </c>
      <c r="F357" s="15">
        <f t="shared" si="2"/>
        <v>0.6141</v>
      </c>
    </row>
    <row r="358">
      <c r="A358" s="2" t="s">
        <v>15</v>
      </c>
      <c r="B358" s="2" t="s">
        <v>41</v>
      </c>
      <c r="C358" s="2" t="s">
        <v>11</v>
      </c>
      <c r="D358" s="14">
        <v>6235.0</v>
      </c>
      <c r="E358" s="15" t="str">
        <f t="shared" si="1"/>
        <v>LBP_256_6r_PCA90.csvKnn870/30</v>
      </c>
      <c r="F358" s="15">
        <f t="shared" si="2"/>
        <v>0.6235</v>
      </c>
    </row>
    <row r="359">
      <c r="A359" s="2" t="s">
        <v>15</v>
      </c>
      <c r="B359" s="2" t="s">
        <v>41</v>
      </c>
      <c r="C359" s="2" t="s">
        <v>12</v>
      </c>
      <c r="D359" s="14">
        <v>6285.0</v>
      </c>
      <c r="E359" s="15" t="str">
        <f t="shared" si="1"/>
        <v>LBP_256_6r_PCA90.csvKnn970/30</v>
      </c>
      <c r="F359" s="15">
        <f t="shared" si="2"/>
        <v>0.6285</v>
      </c>
    </row>
    <row r="360">
      <c r="A360" s="2" t="s">
        <v>15</v>
      </c>
      <c r="B360" s="2" t="s">
        <v>41</v>
      </c>
      <c r="C360" s="2" t="s">
        <v>13</v>
      </c>
      <c r="D360" s="14">
        <v>6269.0</v>
      </c>
      <c r="E360" s="15" t="str">
        <f t="shared" si="1"/>
        <v>LBP_256_6r_PCA90.csvKnn1070/30</v>
      </c>
      <c r="F360" s="15">
        <f t="shared" si="2"/>
        <v>0.6269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3.25"/>
  </cols>
  <sheetData>
    <row r="1">
      <c r="A1" s="2" t="s">
        <v>17</v>
      </c>
      <c r="B1" s="2" t="s">
        <v>14</v>
      </c>
      <c r="C1" s="2" t="s">
        <v>4</v>
      </c>
      <c r="D1" s="14">
        <v>5824.0</v>
      </c>
      <c r="E1" s="15" t="str">
        <f t="shared" ref="E1:E360" si="1">B1&amp;C1&amp;A1</f>
        <v>HOG_128_16x16.csvKnn110Fold</v>
      </c>
      <c r="F1" s="15">
        <f t="shared" ref="F1:F360" si="2">DIVIDE(D1,10000)</f>
        <v>0.5824</v>
      </c>
    </row>
    <row r="2">
      <c r="A2" s="2" t="s">
        <v>17</v>
      </c>
      <c r="B2" s="2" t="s">
        <v>14</v>
      </c>
      <c r="C2" s="2" t="s">
        <v>5</v>
      </c>
      <c r="D2" s="14">
        <v>6199.0</v>
      </c>
      <c r="E2" s="15" t="str">
        <f t="shared" si="1"/>
        <v>HOG_128_16x16.csvKnn210Fold</v>
      </c>
      <c r="F2" s="15">
        <f t="shared" si="2"/>
        <v>0.6199</v>
      </c>
    </row>
    <row r="3">
      <c r="A3" s="2" t="s">
        <v>17</v>
      </c>
      <c r="B3" s="2" t="s">
        <v>14</v>
      </c>
      <c r="C3" s="2" t="s">
        <v>6</v>
      </c>
      <c r="D3" s="14">
        <v>5597.0</v>
      </c>
      <c r="E3" s="15" t="str">
        <f t="shared" si="1"/>
        <v>HOG_128_16x16.csvKnn310Fold</v>
      </c>
      <c r="F3" s="15">
        <f t="shared" si="2"/>
        <v>0.5597</v>
      </c>
    </row>
    <row r="4">
      <c r="A4" s="2" t="s">
        <v>17</v>
      </c>
      <c r="B4" s="2" t="s">
        <v>14</v>
      </c>
      <c r="C4" s="2" t="s">
        <v>7</v>
      </c>
      <c r="D4" s="14">
        <v>6059.0</v>
      </c>
      <c r="E4" s="15" t="str">
        <f t="shared" si="1"/>
        <v>HOG_128_16x16.csvKnn410Fold</v>
      </c>
      <c r="F4" s="15">
        <f t="shared" si="2"/>
        <v>0.6059</v>
      </c>
    </row>
    <row r="5">
      <c r="A5" s="2" t="s">
        <v>17</v>
      </c>
      <c r="B5" s="2" t="s">
        <v>14</v>
      </c>
      <c r="C5" s="2" t="s">
        <v>8</v>
      </c>
      <c r="D5" s="14">
        <v>5399.0</v>
      </c>
      <c r="E5" s="15" t="str">
        <f t="shared" si="1"/>
        <v>HOG_128_16x16.csvKnn510Fold</v>
      </c>
      <c r="F5" s="15">
        <f t="shared" si="2"/>
        <v>0.5399</v>
      </c>
    </row>
    <row r="6">
      <c r="A6" s="2" t="s">
        <v>17</v>
      </c>
      <c r="B6" s="2" t="s">
        <v>14</v>
      </c>
      <c r="C6" s="2" t="s">
        <v>9</v>
      </c>
      <c r="D6" s="14">
        <v>5847.0</v>
      </c>
      <c r="E6" s="15" t="str">
        <f t="shared" si="1"/>
        <v>HOG_128_16x16.csvKnn610Fold</v>
      </c>
      <c r="F6" s="15">
        <f t="shared" si="2"/>
        <v>0.5847</v>
      </c>
    </row>
    <row r="7">
      <c r="A7" s="2" t="s">
        <v>17</v>
      </c>
      <c r="B7" s="2" t="s">
        <v>14</v>
      </c>
      <c r="C7" s="2" t="s">
        <v>10</v>
      </c>
      <c r="D7" s="14">
        <v>5236.0</v>
      </c>
      <c r="E7" s="15" t="str">
        <f t="shared" si="1"/>
        <v>HOG_128_16x16.csvKnn710Fold</v>
      </c>
      <c r="F7" s="15">
        <f t="shared" si="2"/>
        <v>0.5236</v>
      </c>
    </row>
    <row r="8">
      <c r="A8" s="2" t="s">
        <v>17</v>
      </c>
      <c r="B8" s="2" t="s">
        <v>14</v>
      </c>
      <c r="C8" s="2" t="s">
        <v>11</v>
      </c>
      <c r="D8" s="14">
        <v>5621.0</v>
      </c>
      <c r="E8" s="15" t="str">
        <f t="shared" si="1"/>
        <v>HOG_128_16x16.csvKnn810Fold</v>
      </c>
      <c r="F8" s="15">
        <f t="shared" si="2"/>
        <v>0.5621</v>
      </c>
    </row>
    <row r="9">
      <c r="A9" s="2" t="s">
        <v>17</v>
      </c>
      <c r="B9" s="2" t="s">
        <v>14</v>
      </c>
      <c r="C9" s="2" t="s">
        <v>12</v>
      </c>
      <c r="D9" s="14">
        <v>5065.0</v>
      </c>
      <c r="E9" s="15" t="str">
        <f t="shared" si="1"/>
        <v>HOG_128_16x16.csvKnn910Fold</v>
      </c>
      <c r="F9" s="15">
        <f t="shared" si="2"/>
        <v>0.5065</v>
      </c>
    </row>
    <row r="10">
      <c r="A10" s="2" t="s">
        <v>17</v>
      </c>
      <c r="B10" s="2" t="s">
        <v>14</v>
      </c>
      <c r="C10" s="2" t="s">
        <v>13</v>
      </c>
      <c r="D10" s="14">
        <v>5432.0</v>
      </c>
      <c r="E10" s="15" t="str">
        <f t="shared" si="1"/>
        <v>HOG_128_16x16.csvKnn1010Fold</v>
      </c>
      <c r="F10" s="15">
        <f t="shared" si="2"/>
        <v>0.5432</v>
      </c>
    </row>
    <row r="11">
      <c r="A11" s="2" t="s">
        <v>17</v>
      </c>
      <c r="B11" s="2" t="s">
        <v>16</v>
      </c>
      <c r="C11" s="2" t="s">
        <v>4</v>
      </c>
      <c r="D11" s="14">
        <v>6453.0</v>
      </c>
      <c r="E11" s="15" t="str">
        <f t="shared" si="1"/>
        <v>HOG_128_16x16_PCA75.csvKnn110Fold</v>
      </c>
      <c r="F11" s="15">
        <f t="shared" si="2"/>
        <v>0.6453</v>
      </c>
    </row>
    <row r="12">
      <c r="A12" s="2" t="s">
        <v>17</v>
      </c>
      <c r="B12" s="2" t="s">
        <v>16</v>
      </c>
      <c r="C12" s="2" t="s">
        <v>5</v>
      </c>
      <c r="D12" s="14">
        <v>6743.0</v>
      </c>
      <c r="E12" s="15" t="str">
        <f t="shared" si="1"/>
        <v>HOG_128_16x16_PCA75.csvKnn210Fold</v>
      </c>
      <c r="F12" s="15">
        <f t="shared" si="2"/>
        <v>0.6743</v>
      </c>
    </row>
    <row r="13">
      <c r="A13" s="2" t="s">
        <v>17</v>
      </c>
      <c r="B13" s="2" t="s">
        <v>16</v>
      </c>
      <c r="C13" s="2" t="s">
        <v>6</v>
      </c>
      <c r="D13" s="14">
        <v>6188.0</v>
      </c>
      <c r="E13" s="15" t="str">
        <f t="shared" si="1"/>
        <v>HOG_128_16x16_PCA75.csvKnn310Fold</v>
      </c>
      <c r="F13" s="15">
        <f t="shared" si="2"/>
        <v>0.6188</v>
      </c>
    </row>
    <row r="14">
      <c r="A14" s="2" t="s">
        <v>17</v>
      </c>
      <c r="B14" s="2" t="s">
        <v>16</v>
      </c>
      <c r="C14" s="2" t="s">
        <v>7</v>
      </c>
      <c r="D14" s="14">
        <v>6535.0</v>
      </c>
      <c r="E14" s="15" t="str">
        <f t="shared" si="1"/>
        <v>HOG_128_16x16_PCA75.csvKnn410Fold</v>
      </c>
      <c r="F14" s="15">
        <f t="shared" si="2"/>
        <v>0.6535</v>
      </c>
    </row>
    <row r="15">
      <c r="A15" s="2" t="s">
        <v>17</v>
      </c>
      <c r="B15" s="2" t="s">
        <v>16</v>
      </c>
      <c r="C15" s="2" t="s">
        <v>8</v>
      </c>
      <c r="D15" s="14">
        <v>6086.0</v>
      </c>
      <c r="E15" s="15" t="str">
        <f t="shared" si="1"/>
        <v>HOG_128_16x16_PCA75.csvKnn510Fold</v>
      </c>
      <c r="F15" s="15">
        <f t="shared" si="2"/>
        <v>0.6086</v>
      </c>
    </row>
    <row r="16">
      <c r="A16" s="2" t="s">
        <v>17</v>
      </c>
      <c r="B16" s="2" t="s">
        <v>16</v>
      </c>
      <c r="C16" s="2" t="s">
        <v>9</v>
      </c>
      <c r="D16" s="14">
        <v>6367.0</v>
      </c>
      <c r="E16" s="15" t="str">
        <f t="shared" si="1"/>
        <v>HOG_128_16x16_PCA75.csvKnn610Fold</v>
      </c>
      <c r="F16" s="15">
        <f t="shared" si="2"/>
        <v>0.6367</v>
      </c>
    </row>
    <row r="17">
      <c r="A17" s="2" t="s">
        <v>17</v>
      </c>
      <c r="B17" s="2" t="s">
        <v>16</v>
      </c>
      <c r="C17" s="2" t="s">
        <v>10</v>
      </c>
      <c r="D17" s="14">
        <v>5964.0</v>
      </c>
      <c r="E17" s="15" t="str">
        <f t="shared" si="1"/>
        <v>HOG_128_16x16_PCA75.csvKnn710Fold</v>
      </c>
      <c r="F17" s="15">
        <f t="shared" si="2"/>
        <v>0.5964</v>
      </c>
    </row>
    <row r="18">
      <c r="A18" s="2" t="s">
        <v>17</v>
      </c>
      <c r="B18" s="2" t="s">
        <v>16</v>
      </c>
      <c r="C18" s="2" t="s">
        <v>11</v>
      </c>
      <c r="D18" s="14">
        <v>6294.0</v>
      </c>
      <c r="E18" s="15" t="str">
        <f t="shared" si="1"/>
        <v>HOG_128_16x16_PCA75.csvKnn810Fold</v>
      </c>
      <c r="F18" s="15">
        <f t="shared" si="2"/>
        <v>0.6294</v>
      </c>
    </row>
    <row r="19">
      <c r="A19" s="2" t="s">
        <v>17</v>
      </c>
      <c r="B19" s="2" t="s">
        <v>16</v>
      </c>
      <c r="C19" s="2" t="s">
        <v>12</v>
      </c>
      <c r="D19" s="14">
        <v>5864.0</v>
      </c>
      <c r="E19" s="15" t="str">
        <f t="shared" si="1"/>
        <v>HOG_128_16x16_PCA75.csvKnn910Fold</v>
      </c>
      <c r="F19" s="15">
        <f t="shared" si="2"/>
        <v>0.5864</v>
      </c>
    </row>
    <row r="20">
      <c r="A20" s="2" t="s">
        <v>17</v>
      </c>
      <c r="B20" s="2" t="s">
        <v>16</v>
      </c>
      <c r="C20" s="2" t="s">
        <v>13</v>
      </c>
      <c r="D20" s="14">
        <v>6159.0</v>
      </c>
      <c r="E20" s="15" t="str">
        <f t="shared" si="1"/>
        <v>HOG_128_16x16_PCA75.csvKnn1010Fold</v>
      </c>
      <c r="F20" s="15">
        <f t="shared" si="2"/>
        <v>0.6159</v>
      </c>
    </row>
    <row r="21">
      <c r="A21" s="2" t="s">
        <v>17</v>
      </c>
      <c r="B21" s="2" t="s">
        <v>19</v>
      </c>
      <c r="C21" s="2" t="s">
        <v>4</v>
      </c>
      <c r="D21" s="14">
        <v>6007.0</v>
      </c>
      <c r="E21" s="15" t="str">
        <f t="shared" si="1"/>
        <v>HOG_128_16x16_PCA90.csvKnn110Fold</v>
      </c>
      <c r="F21" s="15">
        <f t="shared" si="2"/>
        <v>0.6007</v>
      </c>
    </row>
    <row r="22">
      <c r="A22" s="2" t="s">
        <v>17</v>
      </c>
      <c r="B22" s="2" t="s">
        <v>19</v>
      </c>
      <c r="C22" s="2" t="s">
        <v>5</v>
      </c>
      <c r="D22" s="14">
        <v>6372.0</v>
      </c>
      <c r="E22" s="15" t="str">
        <f t="shared" si="1"/>
        <v>HOG_128_16x16_PCA90.csvKnn210Fold</v>
      </c>
      <c r="F22" s="15">
        <f t="shared" si="2"/>
        <v>0.6372</v>
      </c>
    </row>
    <row r="23">
      <c r="A23" s="2" t="s">
        <v>17</v>
      </c>
      <c r="B23" s="2" t="s">
        <v>19</v>
      </c>
      <c r="C23" s="2" t="s">
        <v>6</v>
      </c>
      <c r="D23" s="14">
        <v>5763.0</v>
      </c>
      <c r="E23" s="15" t="str">
        <f t="shared" si="1"/>
        <v>HOG_128_16x16_PCA90.csvKnn310Fold</v>
      </c>
      <c r="F23" s="15">
        <f t="shared" si="2"/>
        <v>0.5763</v>
      </c>
    </row>
    <row r="24">
      <c r="A24" s="2" t="s">
        <v>17</v>
      </c>
      <c r="B24" s="2" t="s">
        <v>19</v>
      </c>
      <c r="C24" s="2" t="s">
        <v>7</v>
      </c>
      <c r="D24" s="14">
        <v>6155.0</v>
      </c>
      <c r="E24" s="15" t="str">
        <f t="shared" si="1"/>
        <v>HOG_128_16x16_PCA90.csvKnn410Fold</v>
      </c>
      <c r="F24" s="15">
        <f t="shared" si="2"/>
        <v>0.6155</v>
      </c>
    </row>
    <row r="25">
      <c r="A25" s="2" t="s">
        <v>17</v>
      </c>
      <c r="B25" s="2" t="s">
        <v>19</v>
      </c>
      <c r="C25" s="2" t="s">
        <v>8</v>
      </c>
      <c r="D25" s="14">
        <v>5596.0</v>
      </c>
      <c r="E25" s="15" t="str">
        <f t="shared" si="1"/>
        <v>HOG_128_16x16_PCA90.csvKnn510Fold</v>
      </c>
      <c r="F25" s="15">
        <f t="shared" si="2"/>
        <v>0.5596</v>
      </c>
    </row>
    <row r="26">
      <c r="A26" s="2" t="s">
        <v>17</v>
      </c>
      <c r="B26" s="2" t="s">
        <v>19</v>
      </c>
      <c r="C26" s="2" t="s">
        <v>9</v>
      </c>
      <c r="D26" s="14">
        <v>6037.0</v>
      </c>
      <c r="E26" s="15" t="str">
        <f t="shared" si="1"/>
        <v>HOG_128_16x16_PCA90.csvKnn610Fold</v>
      </c>
      <c r="F26" s="15">
        <f t="shared" si="2"/>
        <v>0.6037</v>
      </c>
    </row>
    <row r="27">
      <c r="A27" s="2" t="s">
        <v>17</v>
      </c>
      <c r="B27" s="2" t="s">
        <v>19</v>
      </c>
      <c r="C27" s="2" t="s">
        <v>10</v>
      </c>
      <c r="D27" s="14">
        <v>5434.0</v>
      </c>
      <c r="E27" s="15" t="str">
        <f t="shared" si="1"/>
        <v>HOG_128_16x16_PCA90.csvKnn710Fold</v>
      </c>
      <c r="F27" s="15">
        <f t="shared" si="2"/>
        <v>0.5434</v>
      </c>
    </row>
    <row r="28">
      <c r="A28" s="2" t="s">
        <v>17</v>
      </c>
      <c r="B28" s="2" t="s">
        <v>19</v>
      </c>
      <c r="C28" s="2" t="s">
        <v>11</v>
      </c>
      <c r="D28" s="14">
        <v>5847.0</v>
      </c>
      <c r="E28" s="15" t="str">
        <f t="shared" si="1"/>
        <v>HOG_128_16x16_PCA90.csvKnn810Fold</v>
      </c>
      <c r="F28" s="15">
        <f t="shared" si="2"/>
        <v>0.5847</v>
      </c>
    </row>
    <row r="29">
      <c r="A29" s="2" t="s">
        <v>17</v>
      </c>
      <c r="B29" s="2" t="s">
        <v>19</v>
      </c>
      <c r="C29" s="2" t="s">
        <v>12</v>
      </c>
      <c r="D29" s="14">
        <v>5345.0</v>
      </c>
      <c r="E29" s="15" t="str">
        <f t="shared" si="1"/>
        <v>HOG_128_16x16_PCA90.csvKnn910Fold</v>
      </c>
      <c r="F29" s="15">
        <f t="shared" si="2"/>
        <v>0.5345</v>
      </c>
    </row>
    <row r="30">
      <c r="A30" s="2" t="s">
        <v>17</v>
      </c>
      <c r="B30" s="2" t="s">
        <v>19</v>
      </c>
      <c r="C30" s="2" t="s">
        <v>13</v>
      </c>
      <c r="D30" s="14">
        <v>5704.0</v>
      </c>
      <c r="E30" s="15" t="str">
        <f t="shared" si="1"/>
        <v>HOG_128_16x16_PCA90.csvKnn1010Fold</v>
      </c>
      <c r="F30" s="15">
        <f t="shared" si="2"/>
        <v>0.5704</v>
      </c>
    </row>
    <row r="31">
      <c r="A31" s="2" t="s">
        <v>17</v>
      </c>
      <c r="B31" s="2" t="s">
        <v>18</v>
      </c>
      <c r="C31" s="2" t="s">
        <v>4</v>
      </c>
      <c r="D31" s="14">
        <v>6374.0</v>
      </c>
      <c r="E31" s="15" t="str">
        <f t="shared" si="1"/>
        <v>HOG_128_32x32.csvKnn110Fold</v>
      </c>
      <c r="F31" s="15">
        <f t="shared" si="2"/>
        <v>0.6374</v>
      </c>
    </row>
    <row r="32">
      <c r="A32" s="2" t="s">
        <v>17</v>
      </c>
      <c r="B32" s="2" t="s">
        <v>18</v>
      </c>
      <c r="C32" s="2" t="s">
        <v>5</v>
      </c>
      <c r="D32" s="14">
        <v>6714.0</v>
      </c>
      <c r="E32" s="15" t="str">
        <f t="shared" si="1"/>
        <v>HOG_128_32x32.csvKnn210Fold</v>
      </c>
      <c r="F32" s="15">
        <f t="shared" si="2"/>
        <v>0.6714</v>
      </c>
    </row>
    <row r="33">
      <c r="A33" s="2" t="s">
        <v>17</v>
      </c>
      <c r="B33" s="2" t="s">
        <v>18</v>
      </c>
      <c r="C33" s="2" t="s">
        <v>6</v>
      </c>
      <c r="D33" s="14">
        <v>6356.0</v>
      </c>
      <c r="E33" s="15" t="str">
        <f t="shared" si="1"/>
        <v>HOG_128_32x32.csvKnn310Fold</v>
      </c>
      <c r="F33" s="15">
        <f t="shared" si="2"/>
        <v>0.6356</v>
      </c>
    </row>
    <row r="34">
      <c r="A34" s="2" t="s">
        <v>17</v>
      </c>
      <c r="B34" s="2" t="s">
        <v>18</v>
      </c>
      <c r="C34" s="2" t="s">
        <v>7</v>
      </c>
      <c r="D34" s="14">
        <v>6729.0</v>
      </c>
      <c r="E34" s="15" t="str">
        <f t="shared" si="1"/>
        <v>HOG_128_32x32.csvKnn410Fold</v>
      </c>
      <c r="F34" s="15">
        <f t="shared" si="2"/>
        <v>0.6729</v>
      </c>
    </row>
    <row r="35">
      <c r="A35" s="2" t="s">
        <v>17</v>
      </c>
      <c r="B35" s="2" t="s">
        <v>18</v>
      </c>
      <c r="C35" s="2" t="s">
        <v>8</v>
      </c>
      <c r="D35" s="14">
        <v>6281.0</v>
      </c>
      <c r="E35" s="15" t="str">
        <f t="shared" si="1"/>
        <v>HOG_128_32x32.csvKnn510Fold</v>
      </c>
      <c r="F35" s="15">
        <f t="shared" si="2"/>
        <v>0.6281</v>
      </c>
    </row>
    <row r="36">
      <c r="A36" s="2" t="s">
        <v>17</v>
      </c>
      <c r="B36" s="2" t="s">
        <v>18</v>
      </c>
      <c r="C36" s="2" t="s">
        <v>9</v>
      </c>
      <c r="D36" s="14">
        <v>6586.0</v>
      </c>
      <c r="E36" s="15" t="str">
        <f t="shared" si="1"/>
        <v>HOG_128_32x32.csvKnn610Fold</v>
      </c>
      <c r="F36" s="15">
        <f t="shared" si="2"/>
        <v>0.6586</v>
      </c>
    </row>
    <row r="37">
      <c r="A37" s="2" t="s">
        <v>17</v>
      </c>
      <c r="B37" s="2" t="s">
        <v>18</v>
      </c>
      <c r="C37" s="2" t="s">
        <v>10</v>
      </c>
      <c r="D37" s="14">
        <v>6147.0</v>
      </c>
      <c r="E37" s="15" t="str">
        <f t="shared" si="1"/>
        <v>HOG_128_32x32.csvKnn710Fold</v>
      </c>
      <c r="F37" s="15">
        <f t="shared" si="2"/>
        <v>0.6147</v>
      </c>
    </row>
    <row r="38">
      <c r="A38" s="2" t="s">
        <v>17</v>
      </c>
      <c r="B38" s="2" t="s">
        <v>18</v>
      </c>
      <c r="C38" s="2" t="s">
        <v>11</v>
      </c>
      <c r="D38" s="14">
        <v>6485.0</v>
      </c>
      <c r="E38" s="15" t="str">
        <f t="shared" si="1"/>
        <v>HOG_128_32x32.csvKnn810Fold</v>
      </c>
      <c r="F38" s="15">
        <f t="shared" si="2"/>
        <v>0.6485</v>
      </c>
    </row>
    <row r="39">
      <c r="A39" s="2" t="s">
        <v>17</v>
      </c>
      <c r="B39" s="2" t="s">
        <v>18</v>
      </c>
      <c r="C39" s="2" t="s">
        <v>12</v>
      </c>
      <c r="D39" s="14">
        <v>6134.0</v>
      </c>
      <c r="E39" s="15" t="str">
        <f t="shared" si="1"/>
        <v>HOG_128_32x32.csvKnn910Fold</v>
      </c>
      <c r="F39" s="15">
        <f t="shared" si="2"/>
        <v>0.6134</v>
      </c>
    </row>
    <row r="40">
      <c r="A40" s="2" t="s">
        <v>17</v>
      </c>
      <c r="B40" s="2" t="s">
        <v>18</v>
      </c>
      <c r="C40" s="2" t="s">
        <v>13</v>
      </c>
      <c r="D40" s="14">
        <v>6393.0</v>
      </c>
      <c r="E40" s="15" t="str">
        <f t="shared" si="1"/>
        <v>HOG_128_32x32.csvKnn1010Fold</v>
      </c>
      <c r="F40" s="15">
        <f t="shared" si="2"/>
        <v>0.6393</v>
      </c>
    </row>
    <row r="41">
      <c r="A41" s="2" t="s">
        <v>17</v>
      </c>
      <c r="B41" s="2" t="s">
        <v>20</v>
      </c>
      <c r="C41" s="2" t="s">
        <v>4</v>
      </c>
      <c r="D41" s="14">
        <v>6549.0</v>
      </c>
      <c r="E41" s="15" t="str">
        <f t="shared" si="1"/>
        <v>HOG_128_32x32_PCA75.csvKnn110Fold</v>
      </c>
      <c r="F41" s="15">
        <f t="shared" si="2"/>
        <v>0.6549</v>
      </c>
    </row>
    <row r="42">
      <c r="A42" s="2" t="s">
        <v>17</v>
      </c>
      <c r="B42" s="2" t="s">
        <v>20</v>
      </c>
      <c r="C42" s="2" t="s">
        <v>5</v>
      </c>
      <c r="D42" s="14">
        <v>6710.0</v>
      </c>
      <c r="E42" s="15" t="str">
        <f t="shared" si="1"/>
        <v>HOG_128_32x32_PCA75.csvKnn210Fold</v>
      </c>
      <c r="F42" s="15">
        <f t="shared" si="2"/>
        <v>0.671</v>
      </c>
    </row>
    <row r="43">
      <c r="A43" s="2" t="s">
        <v>17</v>
      </c>
      <c r="B43" s="2" t="s">
        <v>20</v>
      </c>
      <c r="C43" s="2" t="s">
        <v>6</v>
      </c>
      <c r="D43" s="14">
        <v>6648.0</v>
      </c>
      <c r="E43" s="15" t="str">
        <f t="shared" si="1"/>
        <v>HOG_128_32x32_PCA75.csvKnn310Fold</v>
      </c>
      <c r="F43" s="15">
        <f t="shared" si="2"/>
        <v>0.6648</v>
      </c>
    </row>
    <row r="44">
      <c r="A44" s="2" t="s">
        <v>17</v>
      </c>
      <c r="B44" s="2" t="s">
        <v>20</v>
      </c>
      <c r="C44" s="2" t="s">
        <v>7</v>
      </c>
      <c r="D44" s="14">
        <v>6973.0</v>
      </c>
      <c r="E44" s="15" t="str">
        <f t="shared" si="1"/>
        <v>HOG_128_32x32_PCA75.csvKnn410Fold</v>
      </c>
      <c r="F44" s="15">
        <f t="shared" si="2"/>
        <v>0.6973</v>
      </c>
    </row>
    <row r="45">
      <c r="A45" s="2" t="s">
        <v>17</v>
      </c>
      <c r="B45" s="2" t="s">
        <v>20</v>
      </c>
      <c r="C45" s="2" t="s">
        <v>8</v>
      </c>
      <c r="D45" s="14">
        <v>6738.0</v>
      </c>
      <c r="E45" s="15" t="str">
        <f t="shared" si="1"/>
        <v>HOG_128_32x32_PCA75.csvKnn510Fold</v>
      </c>
      <c r="F45" s="15">
        <f t="shared" si="2"/>
        <v>0.6738</v>
      </c>
    </row>
    <row r="46">
      <c r="A46" s="2" t="s">
        <v>17</v>
      </c>
      <c r="B46" s="2" t="s">
        <v>20</v>
      </c>
      <c r="C46" s="2" t="s">
        <v>9</v>
      </c>
      <c r="D46" s="14">
        <v>6980.0</v>
      </c>
      <c r="E46" s="15" t="str">
        <f t="shared" si="1"/>
        <v>HOG_128_32x32_PCA75.csvKnn610Fold</v>
      </c>
      <c r="F46" s="15">
        <f t="shared" si="2"/>
        <v>0.698</v>
      </c>
    </row>
    <row r="47">
      <c r="A47" s="2" t="s">
        <v>17</v>
      </c>
      <c r="B47" s="2" t="s">
        <v>20</v>
      </c>
      <c r="C47" s="2" t="s">
        <v>10</v>
      </c>
      <c r="D47" s="14">
        <v>6718.0</v>
      </c>
      <c r="E47" s="15" t="str">
        <f t="shared" si="1"/>
        <v>HOG_128_32x32_PCA75.csvKnn710Fold</v>
      </c>
      <c r="F47" s="15">
        <f t="shared" si="2"/>
        <v>0.6718</v>
      </c>
    </row>
    <row r="48">
      <c r="A48" s="2" t="s">
        <v>17</v>
      </c>
      <c r="B48" s="2" t="s">
        <v>20</v>
      </c>
      <c r="C48" s="2" t="s">
        <v>11</v>
      </c>
      <c r="D48" s="14">
        <v>6958.0</v>
      </c>
      <c r="E48" s="15" t="str">
        <f t="shared" si="1"/>
        <v>HOG_128_32x32_PCA75.csvKnn810Fold</v>
      </c>
      <c r="F48" s="15">
        <f t="shared" si="2"/>
        <v>0.6958</v>
      </c>
    </row>
    <row r="49">
      <c r="A49" s="2" t="s">
        <v>17</v>
      </c>
      <c r="B49" s="2" t="s">
        <v>20</v>
      </c>
      <c r="C49" s="2" t="s">
        <v>12</v>
      </c>
      <c r="D49" s="14">
        <v>6704.0</v>
      </c>
      <c r="E49" s="15" t="str">
        <f t="shared" si="1"/>
        <v>HOG_128_32x32_PCA75.csvKnn910Fold</v>
      </c>
      <c r="F49" s="15">
        <f t="shared" si="2"/>
        <v>0.6704</v>
      </c>
    </row>
    <row r="50">
      <c r="A50" s="2" t="s">
        <v>17</v>
      </c>
      <c r="B50" s="2" t="s">
        <v>20</v>
      </c>
      <c r="C50" s="2" t="s">
        <v>13</v>
      </c>
      <c r="D50" s="14">
        <v>7017.0</v>
      </c>
      <c r="E50" s="15" t="str">
        <f t="shared" si="1"/>
        <v>HOG_128_32x32_PCA75.csvKnn1010Fold</v>
      </c>
      <c r="F50" s="15">
        <f t="shared" si="2"/>
        <v>0.7017</v>
      </c>
    </row>
    <row r="51">
      <c r="A51" s="2" t="s">
        <v>17</v>
      </c>
      <c r="B51" s="2" t="s">
        <v>21</v>
      </c>
      <c r="C51" s="2" t="s">
        <v>4</v>
      </c>
      <c r="D51" s="14">
        <v>6445.0</v>
      </c>
      <c r="E51" s="15" t="str">
        <f t="shared" si="1"/>
        <v>HOG_128_32x32_PCA90.csvKnn110Fold</v>
      </c>
      <c r="F51" s="15">
        <f t="shared" si="2"/>
        <v>0.6445</v>
      </c>
    </row>
    <row r="52">
      <c r="A52" s="2" t="s">
        <v>17</v>
      </c>
      <c r="B52" s="2" t="s">
        <v>21</v>
      </c>
      <c r="C52" s="2" t="s">
        <v>5</v>
      </c>
      <c r="D52" s="14">
        <v>6777.0</v>
      </c>
      <c r="E52" s="15" t="str">
        <f t="shared" si="1"/>
        <v>HOG_128_32x32_PCA90.csvKnn210Fold</v>
      </c>
      <c r="F52" s="15">
        <f t="shared" si="2"/>
        <v>0.6777</v>
      </c>
    </row>
    <row r="53">
      <c r="A53" s="2" t="s">
        <v>17</v>
      </c>
      <c r="B53" s="2" t="s">
        <v>21</v>
      </c>
      <c r="C53" s="2" t="s">
        <v>6</v>
      </c>
      <c r="D53" s="14">
        <v>6436.0</v>
      </c>
      <c r="E53" s="15" t="str">
        <f t="shared" si="1"/>
        <v>HOG_128_32x32_PCA90.csvKnn310Fold</v>
      </c>
      <c r="F53" s="15">
        <f t="shared" si="2"/>
        <v>0.6436</v>
      </c>
    </row>
    <row r="54">
      <c r="A54" s="2" t="s">
        <v>17</v>
      </c>
      <c r="B54" s="2" t="s">
        <v>21</v>
      </c>
      <c r="C54" s="2" t="s">
        <v>7</v>
      </c>
      <c r="D54" s="14">
        <v>6873.0</v>
      </c>
      <c r="E54" s="15" t="str">
        <f t="shared" si="1"/>
        <v>HOG_128_32x32_PCA90.csvKnn410Fold</v>
      </c>
      <c r="F54" s="15">
        <f t="shared" si="2"/>
        <v>0.6873</v>
      </c>
    </row>
    <row r="55">
      <c r="A55" s="2" t="s">
        <v>17</v>
      </c>
      <c r="B55" s="2" t="s">
        <v>21</v>
      </c>
      <c r="C55" s="2" t="s">
        <v>8</v>
      </c>
      <c r="D55" s="14">
        <v>6528.0</v>
      </c>
      <c r="E55" s="15" t="str">
        <f t="shared" si="1"/>
        <v>HOG_128_32x32_PCA90.csvKnn510Fold</v>
      </c>
      <c r="F55" s="15">
        <f t="shared" si="2"/>
        <v>0.6528</v>
      </c>
    </row>
    <row r="56">
      <c r="A56" s="2" t="s">
        <v>17</v>
      </c>
      <c r="B56" s="2" t="s">
        <v>21</v>
      </c>
      <c r="C56" s="2" t="s">
        <v>9</v>
      </c>
      <c r="D56" s="14">
        <v>6941.0</v>
      </c>
      <c r="E56" s="15" t="str">
        <f t="shared" si="1"/>
        <v>HOG_128_32x32_PCA90.csvKnn610Fold</v>
      </c>
      <c r="F56" s="15">
        <f t="shared" si="2"/>
        <v>0.6941</v>
      </c>
    </row>
    <row r="57">
      <c r="A57" s="2" t="s">
        <v>17</v>
      </c>
      <c r="B57" s="2" t="s">
        <v>21</v>
      </c>
      <c r="C57" s="2" t="s">
        <v>10</v>
      </c>
      <c r="D57" s="14">
        <v>6455.0</v>
      </c>
      <c r="E57" s="15" t="str">
        <f t="shared" si="1"/>
        <v>HOG_128_32x32_PCA90.csvKnn710Fold</v>
      </c>
      <c r="F57" s="15">
        <f t="shared" si="2"/>
        <v>0.6455</v>
      </c>
    </row>
    <row r="58">
      <c r="A58" s="2" t="s">
        <v>17</v>
      </c>
      <c r="B58" s="2" t="s">
        <v>21</v>
      </c>
      <c r="C58" s="2" t="s">
        <v>11</v>
      </c>
      <c r="D58" s="14">
        <v>6813.0</v>
      </c>
      <c r="E58" s="15" t="str">
        <f t="shared" si="1"/>
        <v>HOG_128_32x32_PCA90.csvKnn810Fold</v>
      </c>
      <c r="F58" s="15">
        <f t="shared" si="2"/>
        <v>0.6813</v>
      </c>
    </row>
    <row r="59">
      <c r="A59" s="2" t="s">
        <v>17</v>
      </c>
      <c r="B59" s="2" t="s">
        <v>21</v>
      </c>
      <c r="C59" s="2" t="s">
        <v>12</v>
      </c>
      <c r="D59" s="14">
        <v>6400.0</v>
      </c>
      <c r="E59" s="15" t="str">
        <f t="shared" si="1"/>
        <v>HOG_128_32x32_PCA90.csvKnn910Fold</v>
      </c>
      <c r="F59" s="15">
        <f t="shared" si="2"/>
        <v>0.64</v>
      </c>
    </row>
    <row r="60">
      <c r="A60" s="2" t="s">
        <v>17</v>
      </c>
      <c r="B60" s="2" t="s">
        <v>21</v>
      </c>
      <c r="C60" s="2" t="s">
        <v>13</v>
      </c>
      <c r="D60" s="14">
        <v>6696.0</v>
      </c>
      <c r="E60" s="15" t="str">
        <f t="shared" si="1"/>
        <v>HOG_128_32x32_PCA90.csvKnn1010Fold</v>
      </c>
      <c r="F60" s="15">
        <f t="shared" si="2"/>
        <v>0.6696</v>
      </c>
    </row>
    <row r="61">
      <c r="A61" s="2" t="s">
        <v>17</v>
      </c>
      <c r="B61" s="2" t="s">
        <v>24</v>
      </c>
      <c r="C61" s="2" t="s">
        <v>4</v>
      </c>
      <c r="D61" s="14">
        <v>5385.0</v>
      </c>
      <c r="E61" s="15" t="str">
        <f t="shared" si="1"/>
        <v>HOG_128_8x8.csvKnn110Fold</v>
      </c>
      <c r="F61" s="15">
        <f t="shared" si="2"/>
        <v>0.5385</v>
      </c>
    </row>
    <row r="62">
      <c r="A62" s="2" t="s">
        <v>17</v>
      </c>
      <c r="B62" s="2" t="s">
        <v>24</v>
      </c>
      <c r="C62" s="2" t="s">
        <v>5</v>
      </c>
      <c r="D62" s="14">
        <v>5716.0</v>
      </c>
      <c r="E62" s="15" t="str">
        <f t="shared" si="1"/>
        <v>HOG_128_8x8.csvKnn210Fold</v>
      </c>
      <c r="F62" s="15">
        <f t="shared" si="2"/>
        <v>0.5716</v>
      </c>
    </row>
    <row r="63">
      <c r="A63" s="2" t="s">
        <v>17</v>
      </c>
      <c r="B63" s="2" t="s">
        <v>24</v>
      </c>
      <c r="C63" s="2" t="s">
        <v>6</v>
      </c>
      <c r="D63" s="14">
        <v>5007.0</v>
      </c>
      <c r="E63" s="15" t="str">
        <f t="shared" si="1"/>
        <v>HOG_128_8x8.csvKnn310Fold</v>
      </c>
      <c r="F63" s="15">
        <f t="shared" si="2"/>
        <v>0.5007</v>
      </c>
    </row>
    <row r="64">
      <c r="A64" s="2" t="s">
        <v>17</v>
      </c>
      <c r="B64" s="2" t="s">
        <v>24</v>
      </c>
      <c r="C64" s="2" t="s">
        <v>7</v>
      </c>
      <c r="D64" s="14">
        <v>5608.0</v>
      </c>
      <c r="E64" s="15" t="str">
        <f t="shared" si="1"/>
        <v>HOG_128_8x8.csvKnn410Fold</v>
      </c>
      <c r="F64" s="15">
        <f t="shared" si="2"/>
        <v>0.5608</v>
      </c>
    </row>
    <row r="65">
      <c r="A65" s="2" t="s">
        <v>17</v>
      </c>
      <c r="B65" s="2" t="s">
        <v>24</v>
      </c>
      <c r="C65" s="2" t="s">
        <v>8</v>
      </c>
      <c r="D65" s="14">
        <v>4809.0</v>
      </c>
      <c r="E65" s="15" t="str">
        <f t="shared" si="1"/>
        <v>HOG_128_8x8.csvKnn510Fold</v>
      </c>
      <c r="F65" s="15">
        <f t="shared" si="2"/>
        <v>0.4809</v>
      </c>
    </row>
    <row r="66">
      <c r="A66" s="2" t="s">
        <v>17</v>
      </c>
      <c r="B66" s="2" t="s">
        <v>24</v>
      </c>
      <c r="C66" s="2" t="s">
        <v>9</v>
      </c>
      <c r="D66" s="14">
        <v>5336.0</v>
      </c>
      <c r="E66" s="15" t="str">
        <f t="shared" si="1"/>
        <v>HOG_128_8x8.csvKnn610Fold</v>
      </c>
      <c r="F66" s="15">
        <f t="shared" si="2"/>
        <v>0.5336</v>
      </c>
    </row>
    <row r="67">
      <c r="A67" s="2" t="s">
        <v>17</v>
      </c>
      <c r="B67" s="2" t="s">
        <v>24</v>
      </c>
      <c r="C67" s="2" t="s">
        <v>10</v>
      </c>
      <c r="D67" s="14">
        <v>4690.0</v>
      </c>
      <c r="E67" s="15" t="str">
        <f t="shared" si="1"/>
        <v>HOG_128_8x8.csvKnn710Fold</v>
      </c>
      <c r="F67" s="15">
        <f t="shared" si="2"/>
        <v>0.469</v>
      </c>
    </row>
    <row r="68">
      <c r="A68" s="2" t="s">
        <v>17</v>
      </c>
      <c r="B68" s="2" t="s">
        <v>24</v>
      </c>
      <c r="C68" s="2" t="s">
        <v>11</v>
      </c>
      <c r="D68" s="14">
        <v>5070.0</v>
      </c>
      <c r="E68" s="15" t="str">
        <f t="shared" si="1"/>
        <v>HOG_128_8x8.csvKnn810Fold</v>
      </c>
      <c r="F68" s="15">
        <f t="shared" si="2"/>
        <v>0.507</v>
      </c>
    </row>
    <row r="69">
      <c r="A69" s="2" t="s">
        <v>17</v>
      </c>
      <c r="B69" s="2" t="s">
        <v>24</v>
      </c>
      <c r="C69" s="2" t="s">
        <v>12</v>
      </c>
      <c r="D69" s="14">
        <v>4488.0</v>
      </c>
      <c r="E69" s="15" t="str">
        <f t="shared" si="1"/>
        <v>HOG_128_8x8.csvKnn910Fold</v>
      </c>
      <c r="F69" s="15">
        <f t="shared" si="2"/>
        <v>0.4488</v>
      </c>
    </row>
    <row r="70">
      <c r="A70" s="2" t="s">
        <v>17</v>
      </c>
      <c r="B70" s="2" t="s">
        <v>24</v>
      </c>
      <c r="C70" s="2" t="s">
        <v>13</v>
      </c>
      <c r="D70" s="14">
        <v>4895.0</v>
      </c>
      <c r="E70" s="15" t="str">
        <f t="shared" si="1"/>
        <v>HOG_128_8x8.csvKnn1010Fold</v>
      </c>
      <c r="F70" s="15">
        <f t="shared" si="2"/>
        <v>0.4895</v>
      </c>
    </row>
    <row r="71">
      <c r="A71" s="2" t="s">
        <v>17</v>
      </c>
      <c r="B71" s="2" t="s">
        <v>26</v>
      </c>
      <c r="C71" s="2" t="s">
        <v>4</v>
      </c>
      <c r="D71" s="14">
        <v>5493.0</v>
      </c>
      <c r="E71" s="15" t="str">
        <f t="shared" si="1"/>
        <v>HOG_128_8x8_PCA75.csvKnn110Fold</v>
      </c>
      <c r="F71" s="15">
        <f t="shared" si="2"/>
        <v>0.5493</v>
      </c>
    </row>
    <row r="72">
      <c r="A72" s="2" t="s">
        <v>17</v>
      </c>
      <c r="B72" s="2" t="s">
        <v>26</v>
      </c>
      <c r="C72" s="2" t="s">
        <v>5</v>
      </c>
      <c r="D72" s="14">
        <v>5764.0</v>
      </c>
      <c r="E72" s="15" t="str">
        <f t="shared" si="1"/>
        <v>HOG_128_8x8_PCA75.csvKnn210Fold</v>
      </c>
      <c r="F72" s="15">
        <f t="shared" si="2"/>
        <v>0.5764</v>
      </c>
    </row>
    <row r="73">
      <c r="A73" s="2" t="s">
        <v>17</v>
      </c>
      <c r="B73" s="2" t="s">
        <v>26</v>
      </c>
      <c r="C73" s="2" t="s">
        <v>6</v>
      </c>
      <c r="D73" s="14">
        <v>5262.0</v>
      </c>
      <c r="E73" s="15" t="str">
        <f t="shared" si="1"/>
        <v>HOG_128_8x8_PCA75.csvKnn310Fold</v>
      </c>
      <c r="F73" s="15">
        <f t="shared" si="2"/>
        <v>0.5262</v>
      </c>
    </row>
    <row r="74">
      <c r="A74" s="2" t="s">
        <v>17</v>
      </c>
      <c r="B74" s="2" t="s">
        <v>26</v>
      </c>
      <c r="C74" s="2" t="s">
        <v>7</v>
      </c>
      <c r="D74" s="14">
        <v>5736.0</v>
      </c>
      <c r="E74" s="15" t="str">
        <f t="shared" si="1"/>
        <v>HOG_128_8x8_PCA75.csvKnn410Fold</v>
      </c>
      <c r="F74" s="15">
        <f t="shared" si="2"/>
        <v>0.5736</v>
      </c>
    </row>
    <row r="75">
      <c r="A75" s="2" t="s">
        <v>17</v>
      </c>
      <c r="B75" s="2" t="s">
        <v>26</v>
      </c>
      <c r="C75" s="2" t="s">
        <v>8</v>
      </c>
      <c r="D75" s="14">
        <v>4971.0</v>
      </c>
      <c r="E75" s="15" t="str">
        <f t="shared" si="1"/>
        <v>HOG_128_8x8_PCA75.csvKnn510Fold</v>
      </c>
      <c r="F75" s="15">
        <f t="shared" si="2"/>
        <v>0.4971</v>
      </c>
    </row>
    <row r="76">
      <c r="A76" s="2" t="s">
        <v>17</v>
      </c>
      <c r="B76" s="2" t="s">
        <v>26</v>
      </c>
      <c r="C76" s="2" t="s">
        <v>9</v>
      </c>
      <c r="D76" s="14">
        <v>5429.0</v>
      </c>
      <c r="E76" s="15" t="str">
        <f t="shared" si="1"/>
        <v>HOG_128_8x8_PCA75.csvKnn610Fold</v>
      </c>
      <c r="F76" s="15">
        <f t="shared" si="2"/>
        <v>0.5429</v>
      </c>
    </row>
    <row r="77">
      <c r="A77" s="2" t="s">
        <v>17</v>
      </c>
      <c r="B77" s="2" t="s">
        <v>26</v>
      </c>
      <c r="C77" s="2" t="s">
        <v>10</v>
      </c>
      <c r="D77" s="14">
        <v>4746.0</v>
      </c>
      <c r="E77" s="15" t="str">
        <f t="shared" si="1"/>
        <v>HOG_128_8x8_PCA75.csvKnn710Fold</v>
      </c>
      <c r="F77" s="15">
        <f t="shared" si="2"/>
        <v>0.4746</v>
      </c>
    </row>
    <row r="78">
      <c r="A78" s="2" t="s">
        <v>17</v>
      </c>
      <c r="B78" s="2" t="s">
        <v>26</v>
      </c>
      <c r="C78" s="2" t="s">
        <v>11</v>
      </c>
      <c r="D78" s="14">
        <v>5124.0</v>
      </c>
      <c r="E78" s="15" t="str">
        <f t="shared" si="1"/>
        <v>HOG_128_8x8_PCA75.csvKnn810Fold</v>
      </c>
      <c r="F78" s="15">
        <f t="shared" si="2"/>
        <v>0.5124</v>
      </c>
    </row>
    <row r="79">
      <c r="A79" s="2" t="s">
        <v>17</v>
      </c>
      <c r="B79" s="2" t="s">
        <v>26</v>
      </c>
      <c r="C79" s="2" t="s">
        <v>12</v>
      </c>
      <c r="D79" s="14">
        <v>4563.0</v>
      </c>
      <c r="E79" s="15" t="str">
        <f t="shared" si="1"/>
        <v>HOG_128_8x8_PCA75.csvKnn910Fold</v>
      </c>
      <c r="F79" s="15">
        <f t="shared" si="2"/>
        <v>0.4563</v>
      </c>
    </row>
    <row r="80">
      <c r="A80" s="2" t="s">
        <v>17</v>
      </c>
      <c r="B80" s="2" t="s">
        <v>26</v>
      </c>
      <c r="C80" s="2" t="s">
        <v>13</v>
      </c>
      <c r="D80" s="14">
        <v>4884.0</v>
      </c>
      <c r="E80" s="15" t="str">
        <f t="shared" si="1"/>
        <v>HOG_128_8x8_PCA75.csvKnn1010Fold</v>
      </c>
      <c r="F80" s="15">
        <f t="shared" si="2"/>
        <v>0.4884</v>
      </c>
    </row>
    <row r="81">
      <c r="A81" s="2" t="s">
        <v>17</v>
      </c>
      <c r="B81" s="2" t="s">
        <v>28</v>
      </c>
      <c r="C81" s="2" t="s">
        <v>4</v>
      </c>
      <c r="D81" s="14">
        <v>5361.0</v>
      </c>
      <c r="E81" s="15" t="str">
        <f t="shared" si="1"/>
        <v>HOG_128_8x8_PCA90.csvKnn110Fold</v>
      </c>
      <c r="F81" s="15">
        <f t="shared" si="2"/>
        <v>0.5361</v>
      </c>
    </row>
    <row r="82">
      <c r="A82" s="2" t="s">
        <v>17</v>
      </c>
      <c r="B82" s="2" t="s">
        <v>28</v>
      </c>
      <c r="C82" s="2" t="s">
        <v>5</v>
      </c>
      <c r="D82" s="14">
        <v>5668.0</v>
      </c>
      <c r="E82" s="15" t="str">
        <f t="shared" si="1"/>
        <v>HOG_128_8x8_PCA90.csvKnn210Fold</v>
      </c>
      <c r="F82" s="15">
        <f t="shared" si="2"/>
        <v>0.5668</v>
      </c>
    </row>
    <row r="83">
      <c r="A83" s="2" t="s">
        <v>17</v>
      </c>
      <c r="B83" s="2" t="s">
        <v>28</v>
      </c>
      <c r="C83" s="2" t="s">
        <v>6</v>
      </c>
      <c r="D83" s="14">
        <v>5043.0</v>
      </c>
      <c r="E83" s="15" t="str">
        <f t="shared" si="1"/>
        <v>HOG_128_8x8_PCA90.csvKnn310Fold</v>
      </c>
      <c r="F83" s="15">
        <f t="shared" si="2"/>
        <v>0.5043</v>
      </c>
    </row>
    <row r="84">
      <c r="A84" s="2" t="s">
        <v>17</v>
      </c>
      <c r="B84" s="2" t="s">
        <v>28</v>
      </c>
      <c r="C84" s="2" t="s">
        <v>7</v>
      </c>
      <c r="D84" s="14">
        <v>5521.0</v>
      </c>
      <c r="E84" s="15" t="str">
        <f t="shared" si="1"/>
        <v>HOG_128_8x8_PCA90.csvKnn410Fold</v>
      </c>
      <c r="F84" s="15">
        <f t="shared" si="2"/>
        <v>0.5521</v>
      </c>
    </row>
    <row r="85">
      <c r="A85" s="2" t="s">
        <v>17</v>
      </c>
      <c r="B85" s="2" t="s">
        <v>28</v>
      </c>
      <c r="C85" s="2" t="s">
        <v>8</v>
      </c>
      <c r="D85" s="14">
        <v>4761.0</v>
      </c>
      <c r="E85" s="15" t="str">
        <f t="shared" si="1"/>
        <v>HOG_128_8x8_PCA90.csvKnn510Fold</v>
      </c>
      <c r="F85" s="15">
        <f t="shared" si="2"/>
        <v>0.4761</v>
      </c>
    </row>
    <row r="86">
      <c r="A86" s="2" t="s">
        <v>17</v>
      </c>
      <c r="B86" s="2" t="s">
        <v>28</v>
      </c>
      <c r="C86" s="2" t="s">
        <v>9</v>
      </c>
      <c r="D86" s="14">
        <v>5252.0</v>
      </c>
      <c r="E86" s="15" t="str">
        <f t="shared" si="1"/>
        <v>HOG_128_8x8_PCA90.csvKnn610Fold</v>
      </c>
      <c r="F86" s="15">
        <f t="shared" si="2"/>
        <v>0.5252</v>
      </c>
    </row>
    <row r="87">
      <c r="A87" s="2" t="s">
        <v>17</v>
      </c>
      <c r="B87" s="2" t="s">
        <v>28</v>
      </c>
      <c r="C87" s="2" t="s">
        <v>10</v>
      </c>
      <c r="D87" s="14">
        <v>4536.0</v>
      </c>
      <c r="E87" s="15" t="str">
        <f t="shared" si="1"/>
        <v>HOG_128_8x8_PCA90.csvKnn710Fold</v>
      </c>
      <c r="F87" s="15">
        <f t="shared" si="2"/>
        <v>0.4536</v>
      </c>
    </row>
    <row r="88">
      <c r="A88" s="2" t="s">
        <v>17</v>
      </c>
      <c r="B88" s="2" t="s">
        <v>28</v>
      </c>
      <c r="C88" s="2" t="s">
        <v>11</v>
      </c>
      <c r="D88" s="14">
        <v>4919.0</v>
      </c>
      <c r="E88" s="15" t="str">
        <f t="shared" si="1"/>
        <v>HOG_128_8x8_PCA90.csvKnn810Fold</v>
      </c>
      <c r="F88" s="15">
        <f t="shared" si="2"/>
        <v>0.4919</v>
      </c>
    </row>
    <row r="89">
      <c r="A89" s="2" t="s">
        <v>17</v>
      </c>
      <c r="B89" s="2" t="s">
        <v>28</v>
      </c>
      <c r="C89" s="2" t="s">
        <v>12</v>
      </c>
      <c r="D89" s="14">
        <v>4399.0</v>
      </c>
      <c r="E89" s="15" t="str">
        <f t="shared" si="1"/>
        <v>HOG_128_8x8_PCA90.csvKnn910Fold</v>
      </c>
      <c r="F89" s="15">
        <f t="shared" si="2"/>
        <v>0.4399</v>
      </c>
    </row>
    <row r="90">
      <c r="A90" s="2" t="s">
        <v>17</v>
      </c>
      <c r="B90" s="2" t="s">
        <v>28</v>
      </c>
      <c r="C90" s="2" t="s">
        <v>13</v>
      </c>
      <c r="D90" s="14">
        <v>4764.0</v>
      </c>
      <c r="E90" s="15" t="str">
        <f t="shared" si="1"/>
        <v>HOG_128_8x8_PCA90.csvKnn1010Fold</v>
      </c>
      <c r="F90" s="15">
        <f t="shared" si="2"/>
        <v>0.4764</v>
      </c>
    </row>
    <row r="91">
      <c r="A91" s="2" t="s">
        <v>17</v>
      </c>
      <c r="B91" s="2" t="s">
        <v>30</v>
      </c>
      <c r="C91" s="2" t="s">
        <v>4</v>
      </c>
      <c r="D91" s="14">
        <v>5604.0</v>
      </c>
      <c r="E91" s="15" t="str">
        <f t="shared" si="1"/>
        <v>HOG_256_16x16.csvKnn110Fold</v>
      </c>
      <c r="F91" s="15">
        <f t="shared" si="2"/>
        <v>0.5604</v>
      </c>
    </row>
    <row r="92">
      <c r="A92" s="2" t="s">
        <v>17</v>
      </c>
      <c r="B92" s="2" t="s">
        <v>30</v>
      </c>
      <c r="C92" s="2" t="s">
        <v>5</v>
      </c>
      <c r="D92" s="14">
        <v>5880.0</v>
      </c>
      <c r="E92" s="15" t="str">
        <f t="shared" si="1"/>
        <v>HOG_256_16x16.csvKnn210Fold</v>
      </c>
      <c r="F92" s="15">
        <f t="shared" si="2"/>
        <v>0.588</v>
      </c>
    </row>
    <row r="93">
      <c r="A93" s="2" t="s">
        <v>17</v>
      </c>
      <c r="B93" s="2" t="s">
        <v>30</v>
      </c>
      <c r="C93" s="2" t="s">
        <v>6</v>
      </c>
      <c r="D93" s="14">
        <v>5075.0</v>
      </c>
      <c r="E93" s="15" t="str">
        <f t="shared" si="1"/>
        <v>HOG_256_16x16.csvKnn310Fold</v>
      </c>
      <c r="F93" s="15">
        <f t="shared" si="2"/>
        <v>0.5075</v>
      </c>
    </row>
    <row r="94">
      <c r="A94" s="2" t="s">
        <v>17</v>
      </c>
      <c r="B94" s="2" t="s">
        <v>30</v>
      </c>
      <c r="C94" s="2" t="s">
        <v>7</v>
      </c>
      <c r="D94" s="14">
        <v>5572.0</v>
      </c>
      <c r="E94" s="15" t="str">
        <f t="shared" si="1"/>
        <v>HOG_256_16x16.csvKnn410Fold</v>
      </c>
      <c r="F94" s="15">
        <f t="shared" si="2"/>
        <v>0.5572</v>
      </c>
    </row>
    <row r="95">
      <c r="A95" s="2" t="s">
        <v>17</v>
      </c>
      <c r="B95" s="2" t="s">
        <v>30</v>
      </c>
      <c r="C95" s="2" t="s">
        <v>8</v>
      </c>
      <c r="D95" s="14">
        <v>4804.0</v>
      </c>
      <c r="E95" s="15" t="str">
        <f t="shared" si="1"/>
        <v>HOG_256_16x16.csvKnn510Fold</v>
      </c>
      <c r="F95" s="15">
        <f t="shared" si="2"/>
        <v>0.4804</v>
      </c>
    </row>
    <row r="96">
      <c r="A96" s="2" t="s">
        <v>17</v>
      </c>
      <c r="B96" s="2" t="s">
        <v>30</v>
      </c>
      <c r="C96" s="2" t="s">
        <v>9</v>
      </c>
      <c r="D96" s="14">
        <v>5248.0</v>
      </c>
      <c r="E96" s="15" t="str">
        <f t="shared" si="1"/>
        <v>HOG_256_16x16.csvKnn610Fold</v>
      </c>
      <c r="F96" s="15">
        <f t="shared" si="2"/>
        <v>0.5248</v>
      </c>
    </row>
    <row r="97">
      <c r="A97" s="2" t="s">
        <v>17</v>
      </c>
      <c r="B97" s="2" t="s">
        <v>30</v>
      </c>
      <c r="C97" s="2" t="s">
        <v>10</v>
      </c>
      <c r="D97" s="14">
        <v>4427.0</v>
      </c>
      <c r="E97" s="15" t="str">
        <f t="shared" si="1"/>
        <v>HOG_256_16x16.csvKnn710Fold</v>
      </c>
      <c r="F97" s="15">
        <f t="shared" si="2"/>
        <v>0.4427</v>
      </c>
    </row>
    <row r="98">
      <c r="A98" s="2" t="s">
        <v>17</v>
      </c>
      <c r="B98" s="2" t="s">
        <v>30</v>
      </c>
      <c r="C98" s="2" t="s">
        <v>11</v>
      </c>
      <c r="D98" s="14">
        <v>4852.0</v>
      </c>
      <c r="E98" s="15" t="str">
        <f t="shared" si="1"/>
        <v>HOG_256_16x16.csvKnn810Fold</v>
      </c>
      <c r="F98" s="15">
        <f t="shared" si="2"/>
        <v>0.4852</v>
      </c>
    </row>
    <row r="99">
      <c r="A99" s="2" t="s">
        <v>17</v>
      </c>
      <c r="B99" s="2" t="s">
        <v>30</v>
      </c>
      <c r="C99" s="2" t="s">
        <v>12</v>
      </c>
      <c r="D99" s="14">
        <v>4320.0</v>
      </c>
      <c r="E99" s="15" t="str">
        <f t="shared" si="1"/>
        <v>HOG_256_16x16.csvKnn910Fold</v>
      </c>
      <c r="F99" s="15">
        <f t="shared" si="2"/>
        <v>0.432</v>
      </c>
    </row>
    <row r="100">
      <c r="A100" s="2" t="s">
        <v>17</v>
      </c>
      <c r="B100" s="2" t="s">
        <v>30</v>
      </c>
      <c r="C100" s="2" t="s">
        <v>13</v>
      </c>
      <c r="D100" s="14">
        <v>4608.0</v>
      </c>
      <c r="E100" s="15" t="str">
        <f t="shared" si="1"/>
        <v>HOG_256_16x16.csvKnn1010Fold</v>
      </c>
      <c r="F100" s="15">
        <f t="shared" si="2"/>
        <v>0.4608</v>
      </c>
    </row>
    <row r="101">
      <c r="A101" s="2" t="s">
        <v>17</v>
      </c>
      <c r="B101" s="2" t="s">
        <v>32</v>
      </c>
      <c r="C101" s="2" t="s">
        <v>4</v>
      </c>
      <c r="D101" s="14">
        <v>5816.0</v>
      </c>
      <c r="E101" s="15" t="str">
        <f t="shared" si="1"/>
        <v>HOG_256_16x16_PCA75.csvKnn110Fold</v>
      </c>
      <c r="F101" s="15">
        <f t="shared" si="2"/>
        <v>0.5816</v>
      </c>
    </row>
    <row r="102">
      <c r="A102" s="2" t="s">
        <v>17</v>
      </c>
      <c r="B102" s="2" t="s">
        <v>32</v>
      </c>
      <c r="C102" s="2" t="s">
        <v>5</v>
      </c>
      <c r="D102" s="14">
        <v>6061.0</v>
      </c>
      <c r="E102" s="15" t="str">
        <f t="shared" si="1"/>
        <v>HOG_256_16x16_PCA75.csvKnn210Fold</v>
      </c>
      <c r="F102" s="15">
        <f t="shared" si="2"/>
        <v>0.6061</v>
      </c>
    </row>
    <row r="103">
      <c r="A103" s="2" t="s">
        <v>17</v>
      </c>
      <c r="B103" s="2" t="s">
        <v>32</v>
      </c>
      <c r="C103" s="2" t="s">
        <v>6</v>
      </c>
      <c r="D103" s="14">
        <v>5501.0</v>
      </c>
      <c r="E103" s="15" t="str">
        <f t="shared" si="1"/>
        <v>HOG_256_16x16_PCA75.csvKnn310Fold</v>
      </c>
      <c r="F103" s="15">
        <f t="shared" si="2"/>
        <v>0.5501</v>
      </c>
    </row>
    <row r="104">
      <c r="A104" s="2" t="s">
        <v>17</v>
      </c>
      <c r="B104" s="2" t="s">
        <v>32</v>
      </c>
      <c r="C104" s="2" t="s">
        <v>7</v>
      </c>
      <c r="D104" s="14">
        <v>5979.0</v>
      </c>
      <c r="E104" s="15" t="str">
        <f t="shared" si="1"/>
        <v>HOG_256_16x16_PCA75.csvKnn410Fold</v>
      </c>
      <c r="F104" s="15">
        <f t="shared" si="2"/>
        <v>0.5979</v>
      </c>
    </row>
    <row r="105">
      <c r="A105" s="2" t="s">
        <v>17</v>
      </c>
      <c r="B105" s="2" t="s">
        <v>32</v>
      </c>
      <c r="C105" s="2" t="s">
        <v>8</v>
      </c>
      <c r="D105" s="14">
        <v>5178.0</v>
      </c>
      <c r="E105" s="15" t="str">
        <f t="shared" si="1"/>
        <v>HOG_256_16x16_PCA75.csvKnn510Fold</v>
      </c>
      <c r="F105" s="15">
        <f t="shared" si="2"/>
        <v>0.5178</v>
      </c>
    </row>
    <row r="106">
      <c r="A106" s="2" t="s">
        <v>17</v>
      </c>
      <c r="B106" s="2" t="s">
        <v>32</v>
      </c>
      <c r="C106" s="2" t="s">
        <v>9</v>
      </c>
      <c r="D106" s="14">
        <v>5643.0</v>
      </c>
      <c r="E106" s="15" t="str">
        <f t="shared" si="1"/>
        <v>HOG_256_16x16_PCA75.csvKnn610Fold</v>
      </c>
      <c r="F106" s="15">
        <f t="shared" si="2"/>
        <v>0.5643</v>
      </c>
    </row>
    <row r="107">
      <c r="A107" s="2" t="s">
        <v>17</v>
      </c>
      <c r="B107" s="2" t="s">
        <v>32</v>
      </c>
      <c r="C107" s="2" t="s">
        <v>10</v>
      </c>
      <c r="D107" s="14">
        <v>4943.0</v>
      </c>
      <c r="E107" s="15" t="str">
        <f t="shared" si="1"/>
        <v>HOG_256_16x16_PCA75.csvKnn710Fold</v>
      </c>
      <c r="F107" s="15">
        <f t="shared" si="2"/>
        <v>0.4943</v>
      </c>
    </row>
    <row r="108">
      <c r="A108" s="2" t="s">
        <v>17</v>
      </c>
      <c r="B108" s="2" t="s">
        <v>32</v>
      </c>
      <c r="C108" s="2" t="s">
        <v>11</v>
      </c>
      <c r="D108" s="14">
        <v>5380.0</v>
      </c>
      <c r="E108" s="15" t="str">
        <f t="shared" si="1"/>
        <v>HOG_256_16x16_PCA75.csvKnn810Fold</v>
      </c>
      <c r="F108" s="15">
        <f t="shared" si="2"/>
        <v>0.538</v>
      </c>
    </row>
    <row r="109">
      <c r="A109" s="2" t="s">
        <v>17</v>
      </c>
      <c r="B109" s="2" t="s">
        <v>32</v>
      </c>
      <c r="C109" s="2" t="s">
        <v>12</v>
      </c>
      <c r="D109" s="14">
        <v>4806.0</v>
      </c>
      <c r="E109" s="15" t="str">
        <f t="shared" si="1"/>
        <v>HOG_256_16x16_PCA75.csvKnn910Fold</v>
      </c>
      <c r="F109" s="15">
        <f t="shared" si="2"/>
        <v>0.4806</v>
      </c>
    </row>
    <row r="110">
      <c r="A110" s="2" t="s">
        <v>17</v>
      </c>
      <c r="B110" s="2" t="s">
        <v>32</v>
      </c>
      <c r="C110" s="2" t="s">
        <v>13</v>
      </c>
      <c r="D110" s="14">
        <v>5127.0</v>
      </c>
      <c r="E110" s="15" t="str">
        <f t="shared" si="1"/>
        <v>HOG_256_16x16_PCA75.csvKnn1010Fold</v>
      </c>
      <c r="F110" s="15">
        <f t="shared" si="2"/>
        <v>0.5127</v>
      </c>
    </row>
    <row r="111">
      <c r="A111" s="2" t="s">
        <v>17</v>
      </c>
      <c r="B111" s="2" t="s">
        <v>34</v>
      </c>
      <c r="C111" s="2" t="s">
        <v>4</v>
      </c>
      <c r="D111" s="14">
        <v>5628.0</v>
      </c>
      <c r="E111" s="15" t="str">
        <f t="shared" si="1"/>
        <v>HOG_256_16x16_PCA90.csvKnn110Fold</v>
      </c>
      <c r="F111" s="15">
        <f t="shared" si="2"/>
        <v>0.5628</v>
      </c>
    </row>
    <row r="112">
      <c r="A112" s="2" t="s">
        <v>17</v>
      </c>
      <c r="B112" s="2" t="s">
        <v>34</v>
      </c>
      <c r="C112" s="2" t="s">
        <v>5</v>
      </c>
      <c r="D112" s="14">
        <v>5907.0</v>
      </c>
      <c r="E112" s="15" t="str">
        <f t="shared" si="1"/>
        <v>HOG_256_16x16_PCA90.csvKnn210Fold</v>
      </c>
      <c r="F112" s="15">
        <f t="shared" si="2"/>
        <v>0.5907</v>
      </c>
    </row>
    <row r="113">
      <c r="A113" s="2" t="s">
        <v>17</v>
      </c>
      <c r="B113" s="2" t="s">
        <v>34</v>
      </c>
      <c r="C113" s="2" t="s">
        <v>6</v>
      </c>
      <c r="D113" s="14">
        <v>5205.0</v>
      </c>
      <c r="E113" s="15" t="str">
        <f t="shared" si="1"/>
        <v>HOG_256_16x16_PCA90.csvKnn310Fold</v>
      </c>
      <c r="F113" s="15">
        <f t="shared" si="2"/>
        <v>0.5205</v>
      </c>
    </row>
    <row r="114">
      <c r="A114" s="2" t="s">
        <v>17</v>
      </c>
      <c r="B114" s="2" t="s">
        <v>34</v>
      </c>
      <c r="C114" s="2" t="s">
        <v>7</v>
      </c>
      <c r="D114" s="14">
        <v>5641.0</v>
      </c>
      <c r="E114" s="15" t="str">
        <f t="shared" si="1"/>
        <v>HOG_256_16x16_PCA90.csvKnn410Fold</v>
      </c>
      <c r="F114" s="15">
        <f t="shared" si="2"/>
        <v>0.5641</v>
      </c>
    </row>
    <row r="115">
      <c r="A115" s="2" t="s">
        <v>17</v>
      </c>
      <c r="B115" s="2" t="s">
        <v>34</v>
      </c>
      <c r="C115" s="2" t="s">
        <v>8</v>
      </c>
      <c r="D115" s="14">
        <v>4765.0</v>
      </c>
      <c r="E115" s="15" t="str">
        <f t="shared" si="1"/>
        <v>HOG_256_16x16_PCA90.csvKnn510Fold</v>
      </c>
      <c r="F115" s="15">
        <f t="shared" si="2"/>
        <v>0.4765</v>
      </c>
    </row>
    <row r="116">
      <c r="A116" s="2" t="s">
        <v>17</v>
      </c>
      <c r="B116" s="2" t="s">
        <v>34</v>
      </c>
      <c r="C116" s="2" t="s">
        <v>9</v>
      </c>
      <c r="D116" s="14">
        <v>5275.0</v>
      </c>
      <c r="E116" s="15" t="str">
        <f t="shared" si="1"/>
        <v>HOG_256_16x16_PCA90.csvKnn610Fold</v>
      </c>
      <c r="F116" s="15">
        <f t="shared" si="2"/>
        <v>0.5275</v>
      </c>
    </row>
    <row r="117">
      <c r="A117" s="2" t="s">
        <v>17</v>
      </c>
      <c r="B117" s="2" t="s">
        <v>34</v>
      </c>
      <c r="C117" s="2" t="s">
        <v>10</v>
      </c>
      <c r="D117" s="14">
        <v>4489.0</v>
      </c>
      <c r="E117" s="15" t="str">
        <f t="shared" si="1"/>
        <v>HOG_256_16x16_PCA90.csvKnn710Fold</v>
      </c>
      <c r="F117" s="15">
        <f t="shared" si="2"/>
        <v>0.4489</v>
      </c>
    </row>
    <row r="118">
      <c r="A118" s="2" t="s">
        <v>17</v>
      </c>
      <c r="B118" s="2" t="s">
        <v>34</v>
      </c>
      <c r="C118" s="2" t="s">
        <v>11</v>
      </c>
      <c r="D118" s="14">
        <v>4888.0</v>
      </c>
      <c r="E118" s="15" t="str">
        <f t="shared" si="1"/>
        <v>HOG_256_16x16_PCA90.csvKnn810Fold</v>
      </c>
      <c r="F118" s="15">
        <f t="shared" si="2"/>
        <v>0.4888</v>
      </c>
    </row>
    <row r="119">
      <c r="A119" s="2" t="s">
        <v>17</v>
      </c>
      <c r="B119" s="2" t="s">
        <v>34</v>
      </c>
      <c r="C119" s="2" t="s">
        <v>12</v>
      </c>
      <c r="D119" s="14">
        <v>4296.0</v>
      </c>
      <c r="E119" s="15" t="str">
        <f t="shared" si="1"/>
        <v>HOG_256_16x16_PCA90.csvKnn910Fold</v>
      </c>
      <c r="F119" s="15">
        <f t="shared" si="2"/>
        <v>0.4296</v>
      </c>
    </row>
    <row r="120">
      <c r="A120" s="2" t="s">
        <v>17</v>
      </c>
      <c r="B120" s="2" t="s">
        <v>34</v>
      </c>
      <c r="C120" s="2" t="s">
        <v>13</v>
      </c>
      <c r="D120" s="14">
        <v>4640.0</v>
      </c>
      <c r="E120" s="15" t="str">
        <f t="shared" si="1"/>
        <v>HOG_256_16x16_PCA90.csvKnn1010Fold</v>
      </c>
      <c r="F120" s="15">
        <f t="shared" si="2"/>
        <v>0.464</v>
      </c>
    </row>
    <row r="121">
      <c r="A121" s="2" t="s">
        <v>17</v>
      </c>
      <c r="B121" s="2" t="s">
        <v>36</v>
      </c>
      <c r="C121" s="2" t="s">
        <v>4</v>
      </c>
      <c r="D121" s="14">
        <v>6205.0</v>
      </c>
      <c r="E121" s="15" t="str">
        <f t="shared" si="1"/>
        <v>HOG_256_32x32.csvKnn110Fold</v>
      </c>
      <c r="F121" s="15">
        <f t="shared" si="2"/>
        <v>0.6205</v>
      </c>
    </row>
    <row r="122">
      <c r="A122" s="2" t="s">
        <v>17</v>
      </c>
      <c r="B122" s="2" t="s">
        <v>36</v>
      </c>
      <c r="C122" s="2" t="s">
        <v>5</v>
      </c>
      <c r="D122" s="14">
        <v>6542.0</v>
      </c>
      <c r="E122" s="15" t="str">
        <f t="shared" si="1"/>
        <v>HOG_256_32x32.csvKnn210Fold</v>
      </c>
      <c r="F122" s="15">
        <f t="shared" si="2"/>
        <v>0.6542</v>
      </c>
    </row>
    <row r="123">
      <c r="A123" s="2" t="s">
        <v>17</v>
      </c>
      <c r="B123" s="2" t="s">
        <v>36</v>
      </c>
      <c r="C123" s="2" t="s">
        <v>6</v>
      </c>
      <c r="D123" s="14">
        <v>5918.0</v>
      </c>
      <c r="E123" s="15" t="str">
        <f t="shared" si="1"/>
        <v>HOG_256_32x32.csvKnn310Fold</v>
      </c>
      <c r="F123" s="15">
        <f t="shared" si="2"/>
        <v>0.5918</v>
      </c>
    </row>
    <row r="124">
      <c r="A124" s="2" t="s">
        <v>17</v>
      </c>
      <c r="B124" s="2" t="s">
        <v>36</v>
      </c>
      <c r="C124" s="2" t="s">
        <v>7</v>
      </c>
      <c r="D124" s="14">
        <v>6289.0</v>
      </c>
      <c r="E124" s="15" t="str">
        <f t="shared" si="1"/>
        <v>HOG_256_32x32.csvKnn410Fold</v>
      </c>
      <c r="F124" s="15">
        <f t="shared" si="2"/>
        <v>0.6289</v>
      </c>
    </row>
    <row r="125">
      <c r="A125" s="2" t="s">
        <v>17</v>
      </c>
      <c r="B125" s="2" t="s">
        <v>36</v>
      </c>
      <c r="C125" s="2" t="s">
        <v>8</v>
      </c>
      <c r="D125" s="14">
        <v>5638.0</v>
      </c>
      <c r="E125" s="15" t="str">
        <f t="shared" si="1"/>
        <v>HOG_256_32x32.csvKnn510Fold</v>
      </c>
      <c r="F125" s="15">
        <f t="shared" si="2"/>
        <v>0.5638</v>
      </c>
    </row>
    <row r="126">
      <c r="A126" s="2" t="s">
        <v>17</v>
      </c>
      <c r="B126" s="2" t="s">
        <v>36</v>
      </c>
      <c r="C126" s="2" t="s">
        <v>9</v>
      </c>
      <c r="D126" s="14">
        <v>6032.0</v>
      </c>
      <c r="E126" s="15" t="str">
        <f t="shared" si="1"/>
        <v>HOG_256_32x32.csvKnn610Fold</v>
      </c>
      <c r="F126" s="15">
        <f t="shared" si="2"/>
        <v>0.6032</v>
      </c>
    </row>
    <row r="127">
      <c r="A127" s="2" t="s">
        <v>17</v>
      </c>
      <c r="B127" s="2" t="s">
        <v>36</v>
      </c>
      <c r="C127" s="2" t="s">
        <v>10</v>
      </c>
      <c r="D127" s="14">
        <v>5470.0</v>
      </c>
      <c r="E127" s="15" t="str">
        <f t="shared" si="1"/>
        <v>HOG_256_32x32.csvKnn710Fold</v>
      </c>
      <c r="F127" s="15">
        <f t="shared" si="2"/>
        <v>0.547</v>
      </c>
    </row>
    <row r="128">
      <c r="A128" s="2" t="s">
        <v>17</v>
      </c>
      <c r="B128" s="2" t="s">
        <v>36</v>
      </c>
      <c r="C128" s="2" t="s">
        <v>11</v>
      </c>
      <c r="D128" s="14">
        <v>5807.0</v>
      </c>
      <c r="E128" s="15" t="str">
        <f t="shared" si="1"/>
        <v>HOG_256_32x32.csvKnn810Fold</v>
      </c>
      <c r="F128" s="15">
        <f t="shared" si="2"/>
        <v>0.5807</v>
      </c>
    </row>
    <row r="129">
      <c r="A129" s="2" t="s">
        <v>17</v>
      </c>
      <c r="B129" s="2" t="s">
        <v>36</v>
      </c>
      <c r="C129" s="2" t="s">
        <v>12</v>
      </c>
      <c r="D129" s="14">
        <v>5362.0</v>
      </c>
      <c r="E129" s="15" t="str">
        <f t="shared" si="1"/>
        <v>HOG_256_32x32.csvKnn910Fold</v>
      </c>
      <c r="F129" s="15">
        <f t="shared" si="2"/>
        <v>0.5362</v>
      </c>
    </row>
    <row r="130">
      <c r="A130" s="2" t="s">
        <v>17</v>
      </c>
      <c r="B130" s="2" t="s">
        <v>36</v>
      </c>
      <c r="C130" s="2" t="s">
        <v>13</v>
      </c>
      <c r="D130" s="14">
        <v>5663.0</v>
      </c>
      <c r="E130" s="15" t="str">
        <f t="shared" si="1"/>
        <v>HOG_256_32x32.csvKnn1010Fold</v>
      </c>
      <c r="F130" s="15">
        <f t="shared" si="2"/>
        <v>0.5663</v>
      </c>
    </row>
    <row r="131">
      <c r="A131" s="2" t="s">
        <v>17</v>
      </c>
      <c r="B131" s="2" t="s">
        <v>22</v>
      </c>
      <c r="C131" s="2" t="s">
        <v>4</v>
      </c>
      <c r="D131" s="14">
        <v>6665.0</v>
      </c>
      <c r="E131" s="15" t="str">
        <f t="shared" si="1"/>
        <v>HOG_256_32x32_PCA75.csvKnn110Fold</v>
      </c>
      <c r="F131" s="15">
        <f t="shared" si="2"/>
        <v>0.6665</v>
      </c>
    </row>
    <row r="132">
      <c r="A132" s="2" t="s">
        <v>17</v>
      </c>
      <c r="B132" s="2" t="s">
        <v>22</v>
      </c>
      <c r="C132" s="2" t="s">
        <v>5</v>
      </c>
      <c r="D132" s="14">
        <v>6844.0</v>
      </c>
      <c r="E132" s="15" t="str">
        <f t="shared" si="1"/>
        <v>HOG_256_32x32_PCA75.csvKnn210Fold</v>
      </c>
      <c r="F132" s="15">
        <f t="shared" si="2"/>
        <v>0.6844</v>
      </c>
    </row>
    <row r="133">
      <c r="A133" s="2" t="s">
        <v>17</v>
      </c>
      <c r="B133" s="2" t="s">
        <v>22</v>
      </c>
      <c r="C133" s="2" t="s">
        <v>6</v>
      </c>
      <c r="D133" s="14">
        <v>6575.0</v>
      </c>
      <c r="E133" s="15" t="str">
        <f t="shared" si="1"/>
        <v>HOG_256_32x32_PCA75.csvKnn310Fold</v>
      </c>
      <c r="F133" s="15">
        <f t="shared" si="2"/>
        <v>0.6575</v>
      </c>
    </row>
    <row r="134">
      <c r="A134" s="2" t="s">
        <v>17</v>
      </c>
      <c r="B134" s="2" t="s">
        <v>22</v>
      </c>
      <c r="C134" s="2" t="s">
        <v>7</v>
      </c>
      <c r="D134" s="14">
        <v>6822.0</v>
      </c>
      <c r="E134" s="15" t="str">
        <f t="shared" si="1"/>
        <v>HOG_256_32x32_PCA75.csvKnn410Fold</v>
      </c>
      <c r="F134" s="15">
        <f t="shared" si="2"/>
        <v>0.6822</v>
      </c>
    </row>
    <row r="135">
      <c r="A135" s="2" t="s">
        <v>17</v>
      </c>
      <c r="B135" s="2" t="s">
        <v>22</v>
      </c>
      <c r="C135" s="2" t="s">
        <v>8</v>
      </c>
      <c r="D135" s="14">
        <v>6456.0</v>
      </c>
      <c r="E135" s="15" t="str">
        <f t="shared" si="1"/>
        <v>HOG_256_32x32_PCA75.csvKnn510Fold</v>
      </c>
      <c r="F135" s="15">
        <f t="shared" si="2"/>
        <v>0.6456</v>
      </c>
    </row>
    <row r="136">
      <c r="A136" s="2" t="s">
        <v>17</v>
      </c>
      <c r="B136" s="2" t="s">
        <v>22</v>
      </c>
      <c r="C136" s="2" t="s">
        <v>9</v>
      </c>
      <c r="D136" s="14">
        <v>6801.0</v>
      </c>
      <c r="E136" s="15" t="str">
        <f t="shared" si="1"/>
        <v>HOG_256_32x32_PCA75.csvKnn610Fold</v>
      </c>
      <c r="F136" s="15">
        <f t="shared" si="2"/>
        <v>0.6801</v>
      </c>
    </row>
    <row r="137">
      <c r="A137" s="2" t="s">
        <v>17</v>
      </c>
      <c r="B137" s="2" t="s">
        <v>22</v>
      </c>
      <c r="C137" s="2" t="s">
        <v>10</v>
      </c>
      <c r="D137" s="14">
        <v>6386.0</v>
      </c>
      <c r="E137" s="15" t="str">
        <f t="shared" si="1"/>
        <v>HOG_256_32x32_PCA75.csvKnn710Fold</v>
      </c>
      <c r="F137" s="15">
        <f t="shared" si="2"/>
        <v>0.6386</v>
      </c>
    </row>
    <row r="138">
      <c r="A138" s="2" t="s">
        <v>17</v>
      </c>
      <c r="B138" s="2" t="s">
        <v>22</v>
      </c>
      <c r="C138" s="2" t="s">
        <v>11</v>
      </c>
      <c r="D138" s="14">
        <v>6678.0</v>
      </c>
      <c r="E138" s="15" t="str">
        <f t="shared" si="1"/>
        <v>HOG_256_32x32_PCA75.csvKnn810Fold</v>
      </c>
      <c r="F138" s="15">
        <f t="shared" si="2"/>
        <v>0.6678</v>
      </c>
    </row>
    <row r="139">
      <c r="A139" s="2" t="s">
        <v>17</v>
      </c>
      <c r="B139" s="2" t="s">
        <v>22</v>
      </c>
      <c r="C139" s="2" t="s">
        <v>12</v>
      </c>
      <c r="D139" s="14">
        <v>6316.0</v>
      </c>
      <c r="E139" s="15" t="str">
        <f t="shared" si="1"/>
        <v>HOG_256_32x32_PCA75.csvKnn910Fold</v>
      </c>
      <c r="F139" s="15">
        <f t="shared" si="2"/>
        <v>0.6316</v>
      </c>
    </row>
    <row r="140">
      <c r="A140" s="2" t="s">
        <v>17</v>
      </c>
      <c r="B140" s="2" t="s">
        <v>22</v>
      </c>
      <c r="C140" s="2" t="s">
        <v>13</v>
      </c>
      <c r="D140" s="14">
        <v>6608.0</v>
      </c>
      <c r="E140" s="15" t="str">
        <f t="shared" si="1"/>
        <v>HOG_256_32x32_PCA75.csvKnn1010Fold</v>
      </c>
      <c r="F140" s="15">
        <f t="shared" si="2"/>
        <v>0.6608</v>
      </c>
    </row>
    <row r="141">
      <c r="A141" s="2" t="s">
        <v>17</v>
      </c>
      <c r="B141" s="2" t="s">
        <v>23</v>
      </c>
      <c r="C141" s="2" t="s">
        <v>4</v>
      </c>
      <c r="D141" s="14">
        <v>6410.0</v>
      </c>
      <c r="E141" s="15" t="str">
        <f t="shared" si="1"/>
        <v>HOG_256_32x32_PCA90.csvKnn110Fold</v>
      </c>
      <c r="F141" s="15">
        <f t="shared" si="2"/>
        <v>0.641</v>
      </c>
    </row>
    <row r="142">
      <c r="A142" s="2" t="s">
        <v>17</v>
      </c>
      <c r="B142" s="2" t="s">
        <v>23</v>
      </c>
      <c r="C142" s="2" t="s">
        <v>5</v>
      </c>
      <c r="D142" s="14">
        <v>6757.0</v>
      </c>
      <c r="E142" s="15" t="str">
        <f t="shared" si="1"/>
        <v>HOG_256_32x32_PCA90.csvKnn210Fold</v>
      </c>
      <c r="F142" s="15">
        <f t="shared" si="2"/>
        <v>0.6757</v>
      </c>
    </row>
    <row r="143">
      <c r="A143" s="2" t="s">
        <v>17</v>
      </c>
      <c r="B143" s="2" t="s">
        <v>23</v>
      </c>
      <c r="C143" s="2" t="s">
        <v>6</v>
      </c>
      <c r="D143" s="14">
        <v>6139.0</v>
      </c>
      <c r="E143" s="15" t="str">
        <f t="shared" si="1"/>
        <v>HOG_256_32x32_PCA90.csvKnn310Fold</v>
      </c>
      <c r="F143" s="15">
        <f t="shared" si="2"/>
        <v>0.6139</v>
      </c>
    </row>
    <row r="144">
      <c r="A144" s="2" t="s">
        <v>17</v>
      </c>
      <c r="B144" s="2" t="s">
        <v>23</v>
      </c>
      <c r="C144" s="2" t="s">
        <v>7</v>
      </c>
      <c r="D144" s="14">
        <v>6541.0</v>
      </c>
      <c r="E144" s="15" t="str">
        <f t="shared" si="1"/>
        <v>HOG_256_32x32_PCA90.csvKnn410Fold</v>
      </c>
      <c r="F144" s="15">
        <f t="shared" si="2"/>
        <v>0.6541</v>
      </c>
    </row>
    <row r="145">
      <c r="A145" s="2" t="s">
        <v>17</v>
      </c>
      <c r="B145" s="2" t="s">
        <v>23</v>
      </c>
      <c r="C145" s="2" t="s">
        <v>8</v>
      </c>
      <c r="D145" s="14">
        <v>5933.0</v>
      </c>
      <c r="E145" s="15" t="str">
        <f t="shared" si="1"/>
        <v>HOG_256_32x32_PCA90.csvKnn510Fold</v>
      </c>
      <c r="F145" s="15">
        <f t="shared" si="2"/>
        <v>0.5933</v>
      </c>
    </row>
    <row r="146">
      <c r="A146" s="2" t="s">
        <v>17</v>
      </c>
      <c r="B146" s="2" t="s">
        <v>23</v>
      </c>
      <c r="C146" s="2" t="s">
        <v>9</v>
      </c>
      <c r="D146" s="14">
        <v>6260.0</v>
      </c>
      <c r="E146" s="15" t="str">
        <f t="shared" si="1"/>
        <v>HOG_256_32x32_PCA90.csvKnn610Fold</v>
      </c>
      <c r="F146" s="15">
        <f t="shared" si="2"/>
        <v>0.626</v>
      </c>
    </row>
    <row r="147">
      <c r="A147" s="2" t="s">
        <v>17</v>
      </c>
      <c r="B147" s="2" t="s">
        <v>23</v>
      </c>
      <c r="C147" s="2" t="s">
        <v>10</v>
      </c>
      <c r="D147" s="14">
        <v>5755.0</v>
      </c>
      <c r="E147" s="15" t="str">
        <f t="shared" si="1"/>
        <v>HOG_256_32x32_PCA90.csvKnn710Fold</v>
      </c>
      <c r="F147" s="15">
        <f t="shared" si="2"/>
        <v>0.5755</v>
      </c>
    </row>
    <row r="148">
      <c r="A148" s="2" t="s">
        <v>17</v>
      </c>
      <c r="B148" s="2" t="s">
        <v>23</v>
      </c>
      <c r="C148" s="2" t="s">
        <v>11</v>
      </c>
      <c r="D148" s="14">
        <v>6050.0</v>
      </c>
      <c r="E148" s="15" t="str">
        <f t="shared" si="1"/>
        <v>HOG_256_32x32_PCA90.csvKnn810Fold</v>
      </c>
      <c r="F148" s="15">
        <f t="shared" si="2"/>
        <v>0.605</v>
      </c>
    </row>
    <row r="149">
      <c r="A149" s="2" t="s">
        <v>17</v>
      </c>
      <c r="B149" s="2" t="s">
        <v>23</v>
      </c>
      <c r="C149" s="2" t="s">
        <v>12</v>
      </c>
      <c r="D149" s="14">
        <v>5599.0</v>
      </c>
      <c r="E149" s="15" t="str">
        <f t="shared" si="1"/>
        <v>HOG_256_32x32_PCA90.csvKnn910Fold</v>
      </c>
      <c r="F149" s="15">
        <f t="shared" si="2"/>
        <v>0.5599</v>
      </c>
    </row>
    <row r="150">
      <c r="A150" s="2" t="s">
        <v>17</v>
      </c>
      <c r="B150" s="2" t="s">
        <v>23</v>
      </c>
      <c r="C150" s="2" t="s">
        <v>13</v>
      </c>
      <c r="D150" s="14">
        <v>5926.0</v>
      </c>
      <c r="E150" s="15" t="str">
        <f t="shared" si="1"/>
        <v>HOG_256_32x32_PCA90.csvKnn1010Fold</v>
      </c>
      <c r="F150" s="15">
        <f t="shared" si="2"/>
        <v>0.5926</v>
      </c>
    </row>
    <row r="151">
      <c r="A151" s="2" t="s">
        <v>17</v>
      </c>
      <c r="B151" s="2" t="s">
        <v>40</v>
      </c>
      <c r="C151" s="2" t="s">
        <v>4</v>
      </c>
      <c r="D151" s="14">
        <v>5669.0</v>
      </c>
      <c r="E151" s="15" t="str">
        <f t="shared" si="1"/>
        <v>HOG_256_8x8.csvKnn110Fold</v>
      </c>
      <c r="F151" s="15">
        <f t="shared" si="2"/>
        <v>0.5669</v>
      </c>
    </row>
    <row r="152">
      <c r="A152" s="2" t="s">
        <v>17</v>
      </c>
      <c r="B152" s="2" t="s">
        <v>40</v>
      </c>
      <c r="C152" s="2" t="s">
        <v>5</v>
      </c>
      <c r="D152" s="14">
        <v>5427.0</v>
      </c>
      <c r="E152" s="15" t="str">
        <f t="shared" si="1"/>
        <v>HOG_256_8x8.csvKnn210Fold</v>
      </c>
      <c r="F152" s="15">
        <f t="shared" si="2"/>
        <v>0.5427</v>
      </c>
    </row>
    <row r="153">
      <c r="A153" s="2" t="s">
        <v>17</v>
      </c>
      <c r="B153" s="2" t="s">
        <v>40</v>
      </c>
      <c r="C153" s="2" t="s">
        <v>6</v>
      </c>
      <c r="D153" s="14">
        <v>5109.0</v>
      </c>
      <c r="E153" s="15" t="str">
        <f t="shared" si="1"/>
        <v>HOG_256_8x8.csvKnn310Fold</v>
      </c>
      <c r="F153" s="15">
        <f t="shared" si="2"/>
        <v>0.5109</v>
      </c>
    </row>
    <row r="154">
      <c r="A154" s="2" t="s">
        <v>17</v>
      </c>
      <c r="B154" s="2" t="s">
        <v>40</v>
      </c>
      <c r="C154" s="2" t="s">
        <v>7</v>
      </c>
      <c r="D154" s="14">
        <v>5475.0</v>
      </c>
      <c r="E154" s="15" t="str">
        <f t="shared" si="1"/>
        <v>HOG_256_8x8.csvKnn410Fold</v>
      </c>
      <c r="F154" s="15">
        <f t="shared" si="2"/>
        <v>0.5475</v>
      </c>
    </row>
    <row r="155">
      <c r="A155" s="2" t="s">
        <v>17</v>
      </c>
      <c r="B155" s="2" t="s">
        <v>40</v>
      </c>
      <c r="C155" s="2" t="s">
        <v>8</v>
      </c>
      <c r="D155" s="14">
        <v>4783.0</v>
      </c>
      <c r="E155" s="15" t="str">
        <f t="shared" si="1"/>
        <v>HOG_256_8x8.csvKnn510Fold</v>
      </c>
      <c r="F155" s="15">
        <f t="shared" si="2"/>
        <v>0.4783</v>
      </c>
    </row>
    <row r="156">
      <c r="A156" s="2" t="s">
        <v>17</v>
      </c>
      <c r="B156" s="2" t="s">
        <v>40</v>
      </c>
      <c r="C156" s="2" t="s">
        <v>9</v>
      </c>
      <c r="D156" s="14">
        <v>5130.0</v>
      </c>
      <c r="E156" s="15" t="str">
        <f t="shared" si="1"/>
        <v>HOG_256_8x8.csvKnn610Fold</v>
      </c>
      <c r="F156" s="15">
        <f t="shared" si="2"/>
        <v>0.513</v>
      </c>
    </row>
    <row r="157">
      <c r="A157" s="2" t="s">
        <v>17</v>
      </c>
      <c r="B157" s="2" t="s">
        <v>40</v>
      </c>
      <c r="C157" s="2" t="s">
        <v>10</v>
      </c>
      <c r="D157" s="14">
        <v>4479.0</v>
      </c>
      <c r="E157" s="15" t="str">
        <f t="shared" si="1"/>
        <v>HOG_256_8x8.csvKnn710Fold</v>
      </c>
      <c r="F157" s="15">
        <f t="shared" si="2"/>
        <v>0.4479</v>
      </c>
    </row>
    <row r="158">
      <c r="A158" s="2" t="s">
        <v>17</v>
      </c>
      <c r="B158" s="2" t="s">
        <v>40</v>
      </c>
      <c r="C158" s="2" t="s">
        <v>11</v>
      </c>
      <c r="D158" s="14">
        <v>4837.0</v>
      </c>
      <c r="E158" s="15" t="str">
        <f t="shared" si="1"/>
        <v>HOG_256_8x8.csvKnn810Fold</v>
      </c>
      <c r="F158" s="15">
        <f t="shared" si="2"/>
        <v>0.4837</v>
      </c>
    </row>
    <row r="159">
      <c r="A159" s="2" t="s">
        <v>17</v>
      </c>
      <c r="B159" s="2" t="s">
        <v>40</v>
      </c>
      <c r="C159" s="2" t="s">
        <v>12</v>
      </c>
      <c r="D159" s="14">
        <v>4316.0</v>
      </c>
      <c r="E159" s="15" t="str">
        <f t="shared" si="1"/>
        <v>HOG_256_8x8.csvKnn910Fold</v>
      </c>
      <c r="F159" s="15">
        <f t="shared" si="2"/>
        <v>0.4316</v>
      </c>
    </row>
    <row r="160">
      <c r="A160" s="2" t="s">
        <v>17</v>
      </c>
      <c r="B160" s="2" t="s">
        <v>40</v>
      </c>
      <c r="C160" s="2" t="s">
        <v>13</v>
      </c>
      <c r="D160" s="14">
        <v>4550.0</v>
      </c>
      <c r="E160" s="15" t="str">
        <f t="shared" si="1"/>
        <v>HOG_256_8x8.csvKnn1010Fold</v>
      </c>
      <c r="F160" s="15">
        <f t="shared" si="2"/>
        <v>0.455</v>
      </c>
    </row>
    <row r="161">
      <c r="A161" s="2" t="s">
        <v>17</v>
      </c>
      <c r="B161" s="2" t="s">
        <v>42</v>
      </c>
      <c r="C161" s="2" t="s">
        <v>4</v>
      </c>
      <c r="D161" s="14">
        <v>5567.0</v>
      </c>
      <c r="E161" s="15" t="str">
        <f t="shared" si="1"/>
        <v>HOG_256_8x8_PCA75.csvKnn110Fold</v>
      </c>
      <c r="F161" s="15">
        <f t="shared" si="2"/>
        <v>0.5567</v>
      </c>
    </row>
    <row r="162">
      <c r="A162" s="2" t="s">
        <v>17</v>
      </c>
      <c r="B162" s="2" t="s">
        <v>42</v>
      </c>
      <c r="C162" s="2" t="s">
        <v>5</v>
      </c>
      <c r="D162" s="14">
        <v>5505.0</v>
      </c>
      <c r="E162" s="15" t="str">
        <f t="shared" si="1"/>
        <v>HOG_256_8x8_PCA75.csvKnn210Fold</v>
      </c>
      <c r="F162" s="15">
        <f t="shared" si="2"/>
        <v>0.5505</v>
      </c>
    </row>
    <row r="163">
      <c r="A163" s="2" t="s">
        <v>17</v>
      </c>
      <c r="B163" s="2" t="s">
        <v>42</v>
      </c>
      <c r="C163" s="2" t="s">
        <v>6</v>
      </c>
      <c r="D163" s="14">
        <v>5164.0</v>
      </c>
      <c r="E163" s="15" t="str">
        <f t="shared" si="1"/>
        <v>HOG_256_8x8_PCA75.csvKnn310Fold</v>
      </c>
      <c r="F163" s="15">
        <f t="shared" si="2"/>
        <v>0.5164</v>
      </c>
    </row>
    <row r="164">
      <c r="A164" s="2" t="s">
        <v>17</v>
      </c>
      <c r="B164" s="2" t="s">
        <v>42</v>
      </c>
      <c r="C164" s="2" t="s">
        <v>7</v>
      </c>
      <c r="D164" s="14">
        <v>5559.0</v>
      </c>
      <c r="E164" s="15" t="str">
        <f t="shared" si="1"/>
        <v>HOG_256_8x8_PCA75.csvKnn410Fold</v>
      </c>
      <c r="F164" s="15">
        <f t="shared" si="2"/>
        <v>0.5559</v>
      </c>
    </row>
    <row r="165">
      <c r="A165" s="2" t="s">
        <v>17</v>
      </c>
      <c r="B165" s="2" t="s">
        <v>42</v>
      </c>
      <c r="C165" s="2" t="s">
        <v>8</v>
      </c>
      <c r="D165" s="14">
        <v>4735.0</v>
      </c>
      <c r="E165" s="15" t="str">
        <f t="shared" si="1"/>
        <v>HOG_256_8x8_PCA75.csvKnn510Fold</v>
      </c>
      <c r="F165" s="15">
        <f t="shared" si="2"/>
        <v>0.4735</v>
      </c>
    </row>
    <row r="166">
      <c r="A166" s="2" t="s">
        <v>17</v>
      </c>
      <c r="B166" s="2" t="s">
        <v>42</v>
      </c>
      <c r="C166" s="2" t="s">
        <v>9</v>
      </c>
      <c r="D166" s="14">
        <v>5122.0</v>
      </c>
      <c r="E166" s="15" t="str">
        <f t="shared" si="1"/>
        <v>HOG_256_8x8_PCA75.csvKnn610Fold</v>
      </c>
      <c r="F166" s="15">
        <f t="shared" si="2"/>
        <v>0.5122</v>
      </c>
    </row>
    <row r="167">
      <c r="A167" s="2" t="s">
        <v>17</v>
      </c>
      <c r="B167" s="2" t="s">
        <v>42</v>
      </c>
      <c r="C167" s="2" t="s">
        <v>10</v>
      </c>
      <c r="D167" s="14">
        <v>4476.0</v>
      </c>
      <c r="E167" s="15" t="str">
        <f t="shared" si="1"/>
        <v>HOG_256_8x8_PCA75.csvKnn710Fold</v>
      </c>
      <c r="F167" s="15">
        <f t="shared" si="2"/>
        <v>0.4476</v>
      </c>
    </row>
    <row r="168">
      <c r="A168" s="2" t="s">
        <v>17</v>
      </c>
      <c r="B168" s="2" t="s">
        <v>42</v>
      </c>
      <c r="C168" s="2" t="s">
        <v>11</v>
      </c>
      <c r="D168" s="14">
        <v>4808.0</v>
      </c>
      <c r="E168" s="15" t="str">
        <f t="shared" si="1"/>
        <v>HOG_256_8x8_PCA75.csvKnn810Fold</v>
      </c>
      <c r="F168" s="15">
        <f t="shared" si="2"/>
        <v>0.4808</v>
      </c>
    </row>
    <row r="169">
      <c r="A169" s="2" t="s">
        <v>17</v>
      </c>
      <c r="B169" s="2" t="s">
        <v>42</v>
      </c>
      <c r="C169" s="2" t="s">
        <v>12</v>
      </c>
      <c r="D169" s="14">
        <v>4275.0</v>
      </c>
      <c r="E169" s="15" t="str">
        <f t="shared" si="1"/>
        <v>HOG_256_8x8_PCA75.csvKnn910Fold</v>
      </c>
      <c r="F169" s="15">
        <f t="shared" si="2"/>
        <v>0.4275</v>
      </c>
    </row>
    <row r="170">
      <c r="A170" s="2" t="s">
        <v>17</v>
      </c>
      <c r="B170" s="2" t="s">
        <v>42</v>
      </c>
      <c r="C170" s="2" t="s">
        <v>13</v>
      </c>
      <c r="D170" s="14">
        <v>4546.0</v>
      </c>
      <c r="E170" s="15" t="str">
        <f t="shared" si="1"/>
        <v>HOG_256_8x8_PCA75.csvKnn1010Fold</v>
      </c>
      <c r="F170" s="15">
        <f t="shared" si="2"/>
        <v>0.4546</v>
      </c>
    </row>
    <row r="171">
      <c r="A171" s="2" t="s">
        <v>17</v>
      </c>
      <c r="B171" s="2" t="s">
        <v>43</v>
      </c>
      <c r="C171" s="2" t="s">
        <v>4</v>
      </c>
      <c r="D171" s="14">
        <v>5592.0</v>
      </c>
      <c r="E171" s="15" t="str">
        <f t="shared" si="1"/>
        <v>HOG_256_8x8_PCA90.csvKnn110Fold</v>
      </c>
      <c r="F171" s="15">
        <f t="shared" si="2"/>
        <v>0.5592</v>
      </c>
    </row>
    <row r="172">
      <c r="A172" s="2" t="s">
        <v>17</v>
      </c>
      <c r="B172" s="2" t="s">
        <v>43</v>
      </c>
      <c r="C172" s="2" t="s">
        <v>5</v>
      </c>
      <c r="D172" s="14">
        <v>5364.0</v>
      </c>
      <c r="E172" s="15" t="str">
        <f t="shared" si="1"/>
        <v>HOG_256_8x8_PCA90.csvKnn210Fold</v>
      </c>
      <c r="F172" s="15">
        <f t="shared" si="2"/>
        <v>0.5364</v>
      </c>
    </row>
    <row r="173">
      <c r="A173" s="2" t="s">
        <v>17</v>
      </c>
      <c r="B173" s="2" t="s">
        <v>43</v>
      </c>
      <c r="C173" s="2" t="s">
        <v>6</v>
      </c>
      <c r="D173" s="14">
        <v>5063.0</v>
      </c>
      <c r="E173" s="15" t="str">
        <f t="shared" si="1"/>
        <v>HOG_256_8x8_PCA90.csvKnn310Fold</v>
      </c>
      <c r="F173" s="15">
        <f t="shared" si="2"/>
        <v>0.5063</v>
      </c>
    </row>
    <row r="174">
      <c r="A174" s="2" t="s">
        <v>17</v>
      </c>
      <c r="B174" s="2" t="s">
        <v>43</v>
      </c>
      <c r="C174" s="2" t="s">
        <v>7</v>
      </c>
      <c r="D174" s="14">
        <v>5460.0</v>
      </c>
      <c r="E174" s="15" t="str">
        <f t="shared" si="1"/>
        <v>HOG_256_8x8_PCA90.csvKnn410Fold</v>
      </c>
      <c r="F174" s="15">
        <f t="shared" si="2"/>
        <v>0.546</v>
      </c>
    </row>
    <row r="175">
      <c r="A175" s="2" t="s">
        <v>17</v>
      </c>
      <c r="B175" s="2" t="s">
        <v>43</v>
      </c>
      <c r="C175" s="2" t="s">
        <v>8</v>
      </c>
      <c r="D175" s="14">
        <v>4694.0</v>
      </c>
      <c r="E175" s="15" t="str">
        <f t="shared" si="1"/>
        <v>HOG_256_8x8_PCA90.csvKnn510Fold</v>
      </c>
      <c r="F175" s="15">
        <f t="shared" si="2"/>
        <v>0.4694</v>
      </c>
    </row>
    <row r="176">
      <c r="A176" s="2" t="s">
        <v>17</v>
      </c>
      <c r="B176" s="2" t="s">
        <v>43</v>
      </c>
      <c r="C176" s="2" t="s">
        <v>9</v>
      </c>
      <c r="D176" s="14">
        <v>5037.0</v>
      </c>
      <c r="E176" s="15" t="str">
        <f t="shared" si="1"/>
        <v>HOG_256_8x8_PCA90.csvKnn610Fold</v>
      </c>
      <c r="F176" s="15">
        <f t="shared" si="2"/>
        <v>0.5037</v>
      </c>
    </row>
    <row r="177">
      <c r="A177" s="2" t="s">
        <v>17</v>
      </c>
      <c r="B177" s="2" t="s">
        <v>43</v>
      </c>
      <c r="C177" s="2" t="s">
        <v>10</v>
      </c>
      <c r="D177" s="14">
        <v>4355.0</v>
      </c>
      <c r="E177" s="15" t="str">
        <f t="shared" si="1"/>
        <v>HOG_256_8x8_PCA90.csvKnn710Fold</v>
      </c>
      <c r="F177" s="15">
        <f t="shared" si="2"/>
        <v>0.4355</v>
      </c>
    </row>
    <row r="178">
      <c r="A178" s="2" t="s">
        <v>17</v>
      </c>
      <c r="B178" s="2" t="s">
        <v>43</v>
      </c>
      <c r="C178" s="2" t="s">
        <v>11</v>
      </c>
      <c r="D178" s="14">
        <v>4668.0</v>
      </c>
      <c r="E178" s="15" t="str">
        <f t="shared" si="1"/>
        <v>HOG_256_8x8_PCA90.csvKnn810Fold</v>
      </c>
      <c r="F178" s="15">
        <f t="shared" si="2"/>
        <v>0.4668</v>
      </c>
    </row>
    <row r="179">
      <c r="A179" s="2" t="s">
        <v>17</v>
      </c>
      <c r="B179" s="2" t="s">
        <v>43</v>
      </c>
      <c r="C179" s="2" t="s">
        <v>12</v>
      </c>
      <c r="D179" s="14">
        <v>4232.0</v>
      </c>
      <c r="E179" s="15" t="str">
        <f t="shared" si="1"/>
        <v>HOG_256_8x8_PCA90.csvKnn910Fold</v>
      </c>
      <c r="F179" s="15">
        <f t="shared" si="2"/>
        <v>0.4232</v>
      </c>
    </row>
    <row r="180">
      <c r="A180" s="2" t="s">
        <v>17</v>
      </c>
      <c r="B180" s="2" t="s">
        <v>43</v>
      </c>
      <c r="C180" s="2" t="s">
        <v>13</v>
      </c>
      <c r="D180" s="14">
        <v>4445.0</v>
      </c>
      <c r="E180" s="15" t="str">
        <f t="shared" si="1"/>
        <v>HOG_256_8x8_PCA90.csvKnn1010Fold</v>
      </c>
      <c r="F180" s="15">
        <f t="shared" si="2"/>
        <v>0.4445</v>
      </c>
    </row>
    <row r="181">
      <c r="A181" s="2" t="s">
        <v>17</v>
      </c>
      <c r="B181" s="2" t="s">
        <v>25</v>
      </c>
      <c r="C181" s="2" t="s">
        <v>4</v>
      </c>
      <c r="D181" s="14">
        <v>5720.0</v>
      </c>
      <c r="E181" s="15" t="str">
        <f t="shared" si="1"/>
        <v>LBP_128_12r.csvKnn110Fold</v>
      </c>
      <c r="F181" s="15">
        <f t="shared" si="2"/>
        <v>0.572</v>
      </c>
    </row>
    <row r="182">
      <c r="A182" s="2" t="s">
        <v>17</v>
      </c>
      <c r="B182" s="2" t="s">
        <v>25</v>
      </c>
      <c r="C182" s="2" t="s">
        <v>5</v>
      </c>
      <c r="D182" s="14">
        <v>5499.0</v>
      </c>
      <c r="E182" s="15" t="str">
        <f t="shared" si="1"/>
        <v>LBP_128_12r.csvKnn210Fold</v>
      </c>
      <c r="F182" s="15">
        <f t="shared" si="2"/>
        <v>0.5499</v>
      </c>
    </row>
    <row r="183">
      <c r="A183" s="2" t="s">
        <v>17</v>
      </c>
      <c r="B183" s="2" t="s">
        <v>25</v>
      </c>
      <c r="C183" s="2" t="s">
        <v>6</v>
      </c>
      <c r="D183" s="14">
        <v>5964.0</v>
      </c>
      <c r="E183" s="15" t="str">
        <f t="shared" si="1"/>
        <v>LBP_128_12r.csvKnn310Fold</v>
      </c>
      <c r="F183" s="15">
        <f t="shared" si="2"/>
        <v>0.5964</v>
      </c>
    </row>
    <row r="184">
      <c r="A184" s="2" t="s">
        <v>17</v>
      </c>
      <c r="B184" s="2" t="s">
        <v>25</v>
      </c>
      <c r="C184" s="2" t="s">
        <v>7</v>
      </c>
      <c r="D184" s="14">
        <v>5843.0</v>
      </c>
      <c r="E184" s="15" t="str">
        <f t="shared" si="1"/>
        <v>LBP_128_12r.csvKnn410Fold</v>
      </c>
      <c r="F184" s="15">
        <f t="shared" si="2"/>
        <v>0.5843</v>
      </c>
    </row>
    <row r="185">
      <c r="A185" s="2" t="s">
        <v>17</v>
      </c>
      <c r="B185" s="2" t="s">
        <v>25</v>
      </c>
      <c r="C185" s="2" t="s">
        <v>8</v>
      </c>
      <c r="D185" s="14">
        <v>6123.0</v>
      </c>
      <c r="E185" s="15" t="str">
        <f t="shared" si="1"/>
        <v>LBP_128_12r.csvKnn510Fold</v>
      </c>
      <c r="F185" s="15">
        <f t="shared" si="2"/>
        <v>0.6123</v>
      </c>
    </row>
    <row r="186">
      <c r="A186" s="2" t="s">
        <v>17</v>
      </c>
      <c r="B186" s="2" t="s">
        <v>25</v>
      </c>
      <c r="C186" s="2" t="s">
        <v>9</v>
      </c>
      <c r="D186" s="14">
        <v>6114.0</v>
      </c>
      <c r="E186" s="15" t="str">
        <f t="shared" si="1"/>
        <v>LBP_128_12r.csvKnn610Fold</v>
      </c>
      <c r="F186" s="15">
        <f t="shared" si="2"/>
        <v>0.6114</v>
      </c>
    </row>
    <row r="187">
      <c r="A187" s="2" t="s">
        <v>17</v>
      </c>
      <c r="B187" s="2" t="s">
        <v>25</v>
      </c>
      <c r="C187" s="2" t="s">
        <v>10</v>
      </c>
      <c r="D187" s="14">
        <v>6128.0</v>
      </c>
      <c r="E187" s="15" t="str">
        <f t="shared" si="1"/>
        <v>LBP_128_12r.csvKnn710Fold</v>
      </c>
      <c r="F187" s="15">
        <f t="shared" si="2"/>
        <v>0.6128</v>
      </c>
    </row>
    <row r="188">
      <c r="A188" s="2" t="s">
        <v>17</v>
      </c>
      <c r="B188" s="2" t="s">
        <v>25</v>
      </c>
      <c r="C188" s="2" t="s">
        <v>11</v>
      </c>
      <c r="D188" s="14">
        <v>6086.0</v>
      </c>
      <c r="E188" s="15" t="str">
        <f t="shared" si="1"/>
        <v>LBP_128_12r.csvKnn810Fold</v>
      </c>
      <c r="F188" s="15">
        <f t="shared" si="2"/>
        <v>0.6086</v>
      </c>
    </row>
    <row r="189">
      <c r="A189" s="2" t="s">
        <v>17</v>
      </c>
      <c r="B189" s="2" t="s">
        <v>25</v>
      </c>
      <c r="C189" s="2" t="s">
        <v>12</v>
      </c>
      <c r="D189" s="14">
        <v>6128.0</v>
      </c>
      <c r="E189" s="15" t="str">
        <f t="shared" si="1"/>
        <v>LBP_128_12r.csvKnn910Fold</v>
      </c>
      <c r="F189" s="15">
        <f t="shared" si="2"/>
        <v>0.6128</v>
      </c>
    </row>
    <row r="190">
      <c r="A190" s="2" t="s">
        <v>17</v>
      </c>
      <c r="B190" s="2" t="s">
        <v>25</v>
      </c>
      <c r="C190" s="2" t="s">
        <v>13</v>
      </c>
      <c r="D190" s="14">
        <v>6248.0</v>
      </c>
      <c r="E190" s="15" t="str">
        <f t="shared" si="1"/>
        <v>LBP_128_12r.csvKnn1010Fold</v>
      </c>
      <c r="F190" s="15">
        <f t="shared" si="2"/>
        <v>0.6248</v>
      </c>
    </row>
    <row r="191">
      <c r="A191" s="2" t="s">
        <v>17</v>
      </c>
      <c r="B191" s="2" t="s">
        <v>44</v>
      </c>
      <c r="C191" s="2" t="s">
        <v>4</v>
      </c>
      <c r="D191" s="14">
        <v>5601.0</v>
      </c>
      <c r="E191" s="15" t="str">
        <f t="shared" si="1"/>
        <v>LBP_128_12r_PCA75.csvKnn110Fold</v>
      </c>
      <c r="F191" s="15">
        <f t="shared" si="2"/>
        <v>0.5601</v>
      </c>
    </row>
    <row r="192">
      <c r="A192" s="2" t="s">
        <v>17</v>
      </c>
      <c r="B192" s="2" t="s">
        <v>44</v>
      </c>
      <c r="C192" s="2" t="s">
        <v>5</v>
      </c>
      <c r="D192" s="14">
        <v>5413.0</v>
      </c>
      <c r="E192" s="15" t="str">
        <f t="shared" si="1"/>
        <v>LBP_128_12r_PCA75.csvKnn210Fold</v>
      </c>
      <c r="F192" s="15">
        <f t="shared" si="2"/>
        <v>0.5413</v>
      </c>
    </row>
    <row r="193">
      <c r="A193" s="2" t="s">
        <v>17</v>
      </c>
      <c r="B193" s="2" t="s">
        <v>44</v>
      </c>
      <c r="C193" s="2" t="s">
        <v>6</v>
      </c>
      <c r="D193" s="14">
        <v>5775.0</v>
      </c>
      <c r="E193" s="15" t="str">
        <f t="shared" si="1"/>
        <v>LBP_128_12r_PCA75.csvKnn310Fold</v>
      </c>
      <c r="F193" s="15">
        <f t="shared" si="2"/>
        <v>0.5775</v>
      </c>
    </row>
    <row r="194">
      <c r="A194" s="2" t="s">
        <v>17</v>
      </c>
      <c r="B194" s="2" t="s">
        <v>44</v>
      </c>
      <c r="C194" s="2" t="s">
        <v>7</v>
      </c>
      <c r="D194" s="14">
        <v>5629.0</v>
      </c>
      <c r="E194" s="15" t="str">
        <f t="shared" si="1"/>
        <v>LBP_128_12r_PCA75.csvKnn410Fold</v>
      </c>
      <c r="F194" s="15">
        <f t="shared" si="2"/>
        <v>0.5629</v>
      </c>
    </row>
    <row r="195">
      <c r="A195" s="2" t="s">
        <v>17</v>
      </c>
      <c r="B195" s="2" t="s">
        <v>44</v>
      </c>
      <c r="C195" s="2" t="s">
        <v>8</v>
      </c>
      <c r="D195" s="14">
        <v>5857.0</v>
      </c>
      <c r="E195" s="15" t="str">
        <f t="shared" si="1"/>
        <v>LBP_128_12r_PCA75.csvKnn510Fold</v>
      </c>
      <c r="F195" s="15">
        <f t="shared" si="2"/>
        <v>0.5857</v>
      </c>
    </row>
    <row r="196">
      <c r="A196" s="2" t="s">
        <v>17</v>
      </c>
      <c r="B196" s="2" t="s">
        <v>44</v>
      </c>
      <c r="C196" s="2" t="s">
        <v>9</v>
      </c>
      <c r="D196" s="14">
        <v>5779.0</v>
      </c>
      <c r="E196" s="15" t="str">
        <f t="shared" si="1"/>
        <v>LBP_128_12r_PCA75.csvKnn610Fold</v>
      </c>
      <c r="F196" s="15">
        <f t="shared" si="2"/>
        <v>0.5779</v>
      </c>
    </row>
    <row r="197">
      <c r="A197" s="2" t="s">
        <v>17</v>
      </c>
      <c r="B197" s="2" t="s">
        <v>44</v>
      </c>
      <c r="C197" s="2" t="s">
        <v>10</v>
      </c>
      <c r="D197" s="14">
        <v>5917.0</v>
      </c>
      <c r="E197" s="15" t="str">
        <f t="shared" si="1"/>
        <v>LBP_128_12r_PCA75.csvKnn710Fold</v>
      </c>
      <c r="F197" s="15">
        <f t="shared" si="2"/>
        <v>0.5917</v>
      </c>
    </row>
    <row r="198">
      <c r="A198" s="2" t="s">
        <v>17</v>
      </c>
      <c r="B198" s="2" t="s">
        <v>44</v>
      </c>
      <c r="C198" s="2" t="s">
        <v>11</v>
      </c>
      <c r="D198" s="14">
        <v>5919.0</v>
      </c>
      <c r="E198" s="15" t="str">
        <f t="shared" si="1"/>
        <v>LBP_128_12r_PCA75.csvKnn810Fold</v>
      </c>
      <c r="F198" s="15">
        <f t="shared" si="2"/>
        <v>0.5919</v>
      </c>
    </row>
    <row r="199">
      <c r="A199" s="2" t="s">
        <v>17</v>
      </c>
      <c r="B199" s="2" t="s">
        <v>44</v>
      </c>
      <c r="C199" s="2" t="s">
        <v>12</v>
      </c>
      <c r="D199" s="14">
        <v>5989.0</v>
      </c>
      <c r="E199" s="15" t="str">
        <f t="shared" si="1"/>
        <v>LBP_128_12r_PCA75.csvKnn910Fold</v>
      </c>
      <c r="F199" s="15">
        <f t="shared" si="2"/>
        <v>0.5989</v>
      </c>
    </row>
    <row r="200">
      <c r="A200" s="2" t="s">
        <v>17</v>
      </c>
      <c r="B200" s="2" t="s">
        <v>44</v>
      </c>
      <c r="C200" s="2" t="s">
        <v>13</v>
      </c>
      <c r="D200" s="14">
        <v>5978.0</v>
      </c>
      <c r="E200" s="15" t="str">
        <f t="shared" si="1"/>
        <v>LBP_128_12r_PCA75.csvKnn1010Fold</v>
      </c>
      <c r="F200" s="15">
        <f t="shared" si="2"/>
        <v>0.5978</v>
      </c>
    </row>
    <row r="201">
      <c r="A201" s="2" t="s">
        <v>17</v>
      </c>
      <c r="B201" s="2" t="s">
        <v>45</v>
      </c>
      <c r="C201" s="2" t="s">
        <v>4</v>
      </c>
      <c r="D201" s="14">
        <v>5671.0</v>
      </c>
      <c r="E201" s="15" t="str">
        <f t="shared" si="1"/>
        <v>LBP_128_12r_PCA90.csvKnn110Fold</v>
      </c>
      <c r="F201" s="15">
        <f t="shared" si="2"/>
        <v>0.5671</v>
      </c>
    </row>
    <row r="202">
      <c r="A202" s="2" t="s">
        <v>17</v>
      </c>
      <c r="B202" s="2" t="s">
        <v>45</v>
      </c>
      <c r="C202" s="2" t="s">
        <v>5</v>
      </c>
      <c r="D202" s="14">
        <v>5447.0</v>
      </c>
      <c r="E202" s="15" t="str">
        <f t="shared" si="1"/>
        <v>LBP_128_12r_PCA90.csvKnn210Fold</v>
      </c>
      <c r="F202" s="15">
        <f t="shared" si="2"/>
        <v>0.5447</v>
      </c>
    </row>
    <row r="203">
      <c r="A203" s="2" t="s">
        <v>17</v>
      </c>
      <c r="B203" s="2" t="s">
        <v>45</v>
      </c>
      <c r="C203" s="2" t="s">
        <v>6</v>
      </c>
      <c r="D203" s="14">
        <v>5782.0</v>
      </c>
      <c r="E203" s="15" t="str">
        <f t="shared" si="1"/>
        <v>LBP_128_12r_PCA90.csvKnn310Fold</v>
      </c>
      <c r="F203" s="15">
        <f t="shared" si="2"/>
        <v>0.5782</v>
      </c>
    </row>
    <row r="204">
      <c r="A204" s="2" t="s">
        <v>17</v>
      </c>
      <c r="B204" s="2" t="s">
        <v>45</v>
      </c>
      <c r="C204" s="2" t="s">
        <v>7</v>
      </c>
      <c r="D204" s="14">
        <v>5647.0</v>
      </c>
      <c r="E204" s="15" t="str">
        <f t="shared" si="1"/>
        <v>LBP_128_12r_PCA90.csvKnn410Fold</v>
      </c>
      <c r="F204" s="15">
        <f t="shared" si="2"/>
        <v>0.5647</v>
      </c>
    </row>
    <row r="205">
      <c r="A205" s="2" t="s">
        <v>17</v>
      </c>
      <c r="B205" s="2" t="s">
        <v>45</v>
      </c>
      <c r="C205" s="2" t="s">
        <v>8</v>
      </c>
      <c r="D205" s="14">
        <v>5834.0</v>
      </c>
      <c r="E205" s="15" t="str">
        <f t="shared" si="1"/>
        <v>LBP_128_12r_PCA90.csvKnn510Fold</v>
      </c>
      <c r="F205" s="15">
        <f t="shared" si="2"/>
        <v>0.5834</v>
      </c>
    </row>
    <row r="206">
      <c r="A206" s="2" t="s">
        <v>17</v>
      </c>
      <c r="B206" s="2" t="s">
        <v>45</v>
      </c>
      <c r="C206" s="2" t="s">
        <v>9</v>
      </c>
      <c r="D206" s="14">
        <v>5836.0</v>
      </c>
      <c r="E206" s="15" t="str">
        <f t="shared" si="1"/>
        <v>LBP_128_12r_PCA90.csvKnn610Fold</v>
      </c>
      <c r="F206" s="15">
        <f t="shared" si="2"/>
        <v>0.5836</v>
      </c>
    </row>
    <row r="207">
      <c r="A207" s="2" t="s">
        <v>17</v>
      </c>
      <c r="B207" s="2" t="s">
        <v>45</v>
      </c>
      <c r="C207" s="2" t="s">
        <v>10</v>
      </c>
      <c r="D207" s="14">
        <v>5910.0</v>
      </c>
      <c r="E207" s="15" t="str">
        <f t="shared" si="1"/>
        <v>LBP_128_12r_PCA90.csvKnn710Fold</v>
      </c>
      <c r="F207" s="15">
        <f t="shared" si="2"/>
        <v>0.591</v>
      </c>
    </row>
    <row r="208">
      <c r="A208" s="2" t="s">
        <v>17</v>
      </c>
      <c r="B208" s="2" t="s">
        <v>45</v>
      </c>
      <c r="C208" s="2" t="s">
        <v>11</v>
      </c>
      <c r="D208" s="14">
        <v>5927.0</v>
      </c>
      <c r="E208" s="15" t="str">
        <f t="shared" si="1"/>
        <v>LBP_128_12r_PCA90.csvKnn810Fold</v>
      </c>
      <c r="F208" s="15">
        <f t="shared" si="2"/>
        <v>0.5927</v>
      </c>
    </row>
    <row r="209">
      <c r="A209" s="2" t="s">
        <v>17</v>
      </c>
      <c r="B209" s="2" t="s">
        <v>45</v>
      </c>
      <c r="C209" s="2" t="s">
        <v>12</v>
      </c>
      <c r="D209" s="14">
        <v>5921.0</v>
      </c>
      <c r="E209" s="15" t="str">
        <f t="shared" si="1"/>
        <v>LBP_128_12r_PCA90.csvKnn910Fold</v>
      </c>
      <c r="F209" s="15">
        <f t="shared" si="2"/>
        <v>0.5921</v>
      </c>
    </row>
    <row r="210">
      <c r="A210" s="2" t="s">
        <v>17</v>
      </c>
      <c r="B210" s="2" t="s">
        <v>45</v>
      </c>
      <c r="C210" s="2" t="s">
        <v>13</v>
      </c>
      <c r="D210" s="14">
        <v>5977.0</v>
      </c>
      <c r="E210" s="15" t="str">
        <f t="shared" si="1"/>
        <v>LBP_128_12r_PCA90.csvKnn1010Fold</v>
      </c>
      <c r="F210" s="15">
        <f t="shared" si="2"/>
        <v>0.5977</v>
      </c>
    </row>
    <row r="211">
      <c r="A211" s="2" t="s">
        <v>17</v>
      </c>
      <c r="B211" s="2" t="s">
        <v>27</v>
      </c>
      <c r="C211" s="2" t="s">
        <v>4</v>
      </c>
      <c r="D211" s="14">
        <v>5724.0</v>
      </c>
      <c r="E211" s="15" t="str">
        <f t="shared" si="1"/>
        <v>LBP_128_3r.csvKnn110Fold</v>
      </c>
      <c r="F211" s="15">
        <f t="shared" si="2"/>
        <v>0.5724</v>
      </c>
    </row>
    <row r="212">
      <c r="A212" s="2" t="s">
        <v>17</v>
      </c>
      <c r="B212" s="2" t="s">
        <v>27</v>
      </c>
      <c r="C212" s="2" t="s">
        <v>5</v>
      </c>
      <c r="D212" s="14">
        <v>5515.0</v>
      </c>
      <c r="E212" s="15" t="str">
        <f t="shared" si="1"/>
        <v>LBP_128_3r.csvKnn210Fold</v>
      </c>
      <c r="F212" s="15">
        <f t="shared" si="2"/>
        <v>0.5515</v>
      </c>
    </row>
    <row r="213">
      <c r="A213" s="2" t="s">
        <v>17</v>
      </c>
      <c r="B213" s="2" t="s">
        <v>27</v>
      </c>
      <c r="C213" s="2" t="s">
        <v>6</v>
      </c>
      <c r="D213" s="14">
        <v>5897.0</v>
      </c>
      <c r="E213" s="15" t="str">
        <f t="shared" si="1"/>
        <v>LBP_128_3r.csvKnn310Fold</v>
      </c>
      <c r="F213" s="15">
        <f t="shared" si="2"/>
        <v>0.5897</v>
      </c>
    </row>
    <row r="214">
      <c r="A214" s="2" t="s">
        <v>17</v>
      </c>
      <c r="B214" s="2" t="s">
        <v>27</v>
      </c>
      <c r="C214" s="2" t="s">
        <v>7</v>
      </c>
      <c r="D214" s="14">
        <v>5838.0</v>
      </c>
      <c r="E214" s="15" t="str">
        <f t="shared" si="1"/>
        <v>LBP_128_3r.csvKnn410Fold</v>
      </c>
      <c r="F214" s="15">
        <f t="shared" si="2"/>
        <v>0.5838</v>
      </c>
    </row>
    <row r="215">
      <c r="A215" s="2" t="s">
        <v>17</v>
      </c>
      <c r="B215" s="2" t="s">
        <v>27</v>
      </c>
      <c r="C215" s="2" t="s">
        <v>8</v>
      </c>
      <c r="D215" s="14">
        <v>6101.0</v>
      </c>
      <c r="E215" s="15" t="str">
        <f t="shared" si="1"/>
        <v>LBP_128_3r.csvKnn510Fold</v>
      </c>
      <c r="F215" s="15">
        <f t="shared" si="2"/>
        <v>0.6101</v>
      </c>
    </row>
    <row r="216">
      <c r="A216" s="2" t="s">
        <v>17</v>
      </c>
      <c r="B216" s="2" t="s">
        <v>27</v>
      </c>
      <c r="C216" s="2" t="s">
        <v>9</v>
      </c>
      <c r="D216" s="14">
        <v>6089.0</v>
      </c>
      <c r="E216" s="15" t="str">
        <f t="shared" si="1"/>
        <v>LBP_128_3r.csvKnn610Fold</v>
      </c>
      <c r="F216" s="15">
        <f t="shared" si="2"/>
        <v>0.6089</v>
      </c>
    </row>
    <row r="217">
      <c r="A217" s="2" t="s">
        <v>17</v>
      </c>
      <c r="B217" s="2" t="s">
        <v>27</v>
      </c>
      <c r="C217" s="2" t="s">
        <v>10</v>
      </c>
      <c r="D217" s="14">
        <v>6216.0</v>
      </c>
      <c r="E217" s="15" t="str">
        <f t="shared" si="1"/>
        <v>LBP_128_3r.csvKnn710Fold</v>
      </c>
      <c r="F217" s="15">
        <f t="shared" si="2"/>
        <v>0.6216</v>
      </c>
    </row>
    <row r="218">
      <c r="A218" s="2" t="s">
        <v>17</v>
      </c>
      <c r="B218" s="2" t="s">
        <v>27</v>
      </c>
      <c r="C218" s="2" t="s">
        <v>11</v>
      </c>
      <c r="D218" s="14">
        <v>6234.0</v>
      </c>
      <c r="E218" s="15" t="str">
        <f t="shared" si="1"/>
        <v>LBP_128_3r.csvKnn810Fold</v>
      </c>
      <c r="F218" s="15">
        <f t="shared" si="2"/>
        <v>0.6234</v>
      </c>
    </row>
    <row r="219">
      <c r="A219" s="2" t="s">
        <v>17</v>
      </c>
      <c r="B219" s="2" t="s">
        <v>27</v>
      </c>
      <c r="C219" s="2" t="s">
        <v>12</v>
      </c>
      <c r="D219" s="14">
        <v>6237.0</v>
      </c>
      <c r="E219" s="15" t="str">
        <f t="shared" si="1"/>
        <v>LBP_128_3r.csvKnn910Fold</v>
      </c>
      <c r="F219" s="15">
        <f t="shared" si="2"/>
        <v>0.6237</v>
      </c>
    </row>
    <row r="220">
      <c r="A220" s="2" t="s">
        <v>17</v>
      </c>
      <c r="B220" s="2" t="s">
        <v>27</v>
      </c>
      <c r="C220" s="2" t="s">
        <v>13</v>
      </c>
      <c r="D220" s="14">
        <v>6229.0</v>
      </c>
      <c r="E220" s="15" t="str">
        <f t="shared" si="1"/>
        <v>LBP_128_3r.csvKnn1010Fold</v>
      </c>
      <c r="F220" s="15">
        <f t="shared" si="2"/>
        <v>0.6229</v>
      </c>
    </row>
    <row r="221">
      <c r="A221" s="2" t="s">
        <v>17</v>
      </c>
      <c r="B221" s="2" t="s">
        <v>46</v>
      </c>
      <c r="C221" s="2" t="s">
        <v>4</v>
      </c>
      <c r="D221" s="14">
        <v>5711.0</v>
      </c>
      <c r="E221" s="15" t="str">
        <f t="shared" si="1"/>
        <v>LBP_128_3r_PCA75.csvKnn110Fold</v>
      </c>
      <c r="F221" s="15">
        <f t="shared" si="2"/>
        <v>0.5711</v>
      </c>
    </row>
    <row r="222">
      <c r="A222" s="2" t="s">
        <v>17</v>
      </c>
      <c r="B222" s="2" t="s">
        <v>46</v>
      </c>
      <c r="C222" s="2" t="s">
        <v>5</v>
      </c>
      <c r="D222" s="14">
        <v>5383.0</v>
      </c>
      <c r="E222" s="15" t="str">
        <f t="shared" si="1"/>
        <v>LBP_128_3r_PCA75.csvKnn210Fold</v>
      </c>
      <c r="F222" s="15">
        <f t="shared" si="2"/>
        <v>0.5383</v>
      </c>
    </row>
    <row r="223">
      <c r="A223" s="2" t="s">
        <v>17</v>
      </c>
      <c r="B223" s="2" t="s">
        <v>46</v>
      </c>
      <c r="C223" s="2" t="s">
        <v>6</v>
      </c>
      <c r="D223" s="14">
        <v>5772.0</v>
      </c>
      <c r="E223" s="15" t="str">
        <f t="shared" si="1"/>
        <v>LBP_128_3r_PCA75.csvKnn310Fold</v>
      </c>
      <c r="F223" s="15">
        <f t="shared" si="2"/>
        <v>0.5772</v>
      </c>
    </row>
    <row r="224">
      <c r="A224" s="2" t="s">
        <v>17</v>
      </c>
      <c r="B224" s="2" t="s">
        <v>46</v>
      </c>
      <c r="C224" s="2" t="s">
        <v>7</v>
      </c>
      <c r="D224" s="14">
        <v>5739.0</v>
      </c>
      <c r="E224" s="15" t="str">
        <f t="shared" si="1"/>
        <v>LBP_128_3r_PCA75.csvKnn410Fold</v>
      </c>
      <c r="F224" s="15">
        <f t="shared" si="2"/>
        <v>0.5739</v>
      </c>
    </row>
    <row r="225">
      <c r="A225" s="2" t="s">
        <v>17</v>
      </c>
      <c r="B225" s="2" t="s">
        <v>46</v>
      </c>
      <c r="C225" s="2" t="s">
        <v>8</v>
      </c>
      <c r="D225" s="14">
        <v>5964.0</v>
      </c>
      <c r="E225" s="15" t="str">
        <f t="shared" si="1"/>
        <v>LBP_128_3r_PCA75.csvKnn510Fold</v>
      </c>
      <c r="F225" s="15">
        <f t="shared" si="2"/>
        <v>0.5964</v>
      </c>
    </row>
    <row r="226">
      <c r="A226" s="2" t="s">
        <v>17</v>
      </c>
      <c r="B226" s="2" t="s">
        <v>46</v>
      </c>
      <c r="C226" s="2" t="s">
        <v>9</v>
      </c>
      <c r="D226" s="14">
        <v>5992.0</v>
      </c>
      <c r="E226" s="15" t="str">
        <f t="shared" si="1"/>
        <v>LBP_128_3r_PCA75.csvKnn610Fold</v>
      </c>
      <c r="F226" s="15">
        <f t="shared" si="2"/>
        <v>0.5992</v>
      </c>
    </row>
    <row r="227">
      <c r="A227" s="2" t="s">
        <v>17</v>
      </c>
      <c r="B227" s="2" t="s">
        <v>46</v>
      </c>
      <c r="C227" s="2" t="s">
        <v>10</v>
      </c>
      <c r="D227" s="14">
        <v>6089.0</v>
      </c>
      <c r="E227" s="15" t="str">
        <f t="shared" si="1"/>
        <v>LBP_128_3r_PCA75.csvKnn710Fold</v>
      </c>
      <c r="F227" s="15">
        <f t="shared" si="2"/>
        <v>0.6089</v>
      </c>
    </row>
    <row r="228">
      <c r="A228" s="2" t="s">
        <v>17</v>
      </c>
      <c r="B228" s="2" t="s">
        <v>46</v>
      </c>
      <c r="C228" s="2" t="s">
        <v>11</v>
      </c>
      <c r="D228" s="14">
        <v>6074.0</v>
      </c>
      <c r="E228" s="15" t="str">
        <f t="shared" si="1"/>
        <v>LBP_128_3r_PCA75.csvKnn810Fold</v>
      </c>
      <c r="F228" s="15">
        <f t="shared" si="2"/>
        <v>0.6074</v>
      </c>
    </row>
    <row r="229">
      <c r="A229" s="2" t="s">
        <v>17</v>
      </c>
      <c r="B229" s="2" t="s">
        <v>46</v>
      </c>
      <c r="C229" s="2" t="s">
        <v>12</v>
      </c>
      <c r="D229" s="14">
        <v>6122.0</v>
      </c>
      <c r="E229" s="15" t="str">
        <f t="shared" si="1"/>
        <v>LBP_128_3r_PCA75.csvKnn910Fold</v>
      </c>
      <c r="F229" s="15">
        <f t="shared" si="2"/>
        <v>0.6122</v>
      </c>
    </row>
    <row r="230">
      <c r="A230" s="2" t="s">
        <v>17</v>
      </c>
      <c r="B230" s="2" t="s">
        <v>46</v>
      </c>
      <c r="C230" s="2" t="s">
        <v>13</v>
      </c>
      <c r="D230" s="14">
        <v>6079.0</v>
      </c>
      <c r="E230" s="15" t="str">
        <f t="shared" si="1"/>
        <v>LBP_128_3r_PCA75.csvKnn1010Fold</v>
      </c>
      <c r="F230" s="15">
        <f t="shared" si="2"/>
        <v>0.6079</v>
      </c>
    </row>
    <row r="231">
      <c r="A231" s="2" t="s">
        <v>17</v>
      </c>
      <c r="B231" s="2" t="s">
        <v>29</v>
      </c>
      <c r="C231" s="2" t="s">
        <v>4</v>
      </c>
      <c r="D231" s="14">
        <v>5859.0</v>
      </c>
      <c r="E231" s="15" t="str">
        <f t="shared" si="1"/>
        <v>LBP_128_3r_PCA90.csvKnn110Fold</v>
      </c>
      <c r="F231" s="15">
        <f t="shared" si="2"/>
        <v>0.5859</v>
      </c>
    </row>
    <row r="232">
      <c r="A232" s="2" t="s">
        <v>17</v>
      </c>
      <c r="B232" s="2" t="s">
        <v>29</v>
      </c>
      <c r="C232" s="2" t="s">
        <v>5</v>
      </c>
      <c r="D232" s="14">
        <v>5509.0</v>
      </c>
      <c r="E232" s="15" t="str">
        <f t="shared" si="1"/>
        <v>LBP_128_3r_PCA90.csvKnn210Fold</v>
      </c>
      <c r="F232" s="15">
        <f t="shared" si="2"/>
        <v>0.5509</v>
      </c>
    </row>
    <row r="233">
      <c r="A233" s="2" t="s">
        <v>17</v>
      </c>
      <c r="B233" s="2" t="s">
        <v>29</v>
      </c>
      <c r="C233" s="2" t="s">
        <v>6</v>
      </c>
      <c r="D233" s="14">
        <v>6026.0</v>
      </c>
      <c r="E233" s="15" t="str">
        <f t="shared" si="1"/>
        <v>LBP_128_3r_PCA90.csvKnn310Fold</v>
      </c>
      <c r="F233" s="15">
        <f t="shared" si="2"/>
        <v>0.6026</v>
      </c>
    </row>
    <row r="234">
      <c r="A234" s="2" t="s">
        <v>17</v>
      </c>
      <c r="B234" s="2" t="s">
        <v>29</v>
      </c>
      <c r="C234" s="2" t="s">
        <v>7</v>
      </c>
      <c r="D234" s="14">
        <v>5927.0</v>
      </c>
      <c r="E234" s="15" t="str">
        <f t="shared" si="1"/>
        <v>LBP_128_3r_PCA90.csvKnn410Fold</v>
      </c>
      <c r="F234" s="15">
        <f t="shared" si="2"/>
        <v>0.5927</v>
      </c>
    </row>
    <row r="235">
      <c r="A235" s="2" t="s">
        <v>17</v>
      </c>
      <c r="B235" s="2" t="s">
        <v>29</v>
      </c>
      <c r="C235" s="2" t="s">
        <v>8</v>
      </c>
      <c r="D235" s="14">
        <v>6193.0</v>
      </c>
      <c r="E235" s="15" t="str">
        <f t="shared" si="1"/>
        <v>LBP_128_3r_PCA90.csvKnn510Fold</v>
      </c>
      <c r="F235" s="15">
        <f t="shared" si="2"/>
        <v>0.6193</v>
      </c>
    </row>
    <row r="236">
      <c r="A236" s="2" t="s">
        <v>17</v>
      </c>
      <c r="B236" s="2" t="s">
        <v>29</v>
      </c>
      <c r="C236" s="2" t="s">
        <v>9</v>
      </c>
      <c r="D236" s="14">
        <v>6108.0</v>
      </c>
      <c r="E236" s="15" t="str">
        <f t="shared" si="1"/>
        <v>LBP_128_3r_PCA90.csvKnn610Fold</v>
      </c>
      <c r="F236" s="15">
        <f t="shared" si="2"/>
        <v>0.6108</v>
      </c>
    </row>
    <row r="237">
      <c r="A237" s="2" t="s">
        <v>17</v>
      </c>
      <c r="B237" s="2" t="s">
        <v>29</v>
      </c>
      <c r="C237" s="2" t="s">
        <v>10</v>
      </c>
      <c r="D237" s="14">
        <v>6285.0</v>
      </c>
      <c r="E237" s="15" t="str">
        <f t="shared" si="1"/>
        <v>LBP_128_3r_PCA90.csvKnn710Fold</v>
      </c>
      <c r="F237" s="15">
        <f t="shared" si="2"/>
        <v>0.6285</v>
      </c>
    </row>
    <row r="238">
      <c r="A238" s="2" t="s">
        <v>17</v>
      </c>
      <c r="B238" s="2" t="s">
        <v>29</v>
      </c>
      <c r="C238" s="2" t="s">
        <v>11</v>
      </c>
      <c r="D238" s="14">
        <v>6187.0</v>
      </c>
      <c r="E238" s="15" t="str">
        <f t="shared" si="1"/>
        <v>LBP_128_3r_PCA90.csvKnn810Fold</v>
      </c>
      <c r="F238" s="15">
        <f t="shared" si="2"/>
        <v>0.6187</v>
      </c>
    </row>
    <row r="239">
      <c r="A239" s="2" t="s">
        <v>17</v>
      </c>
      <c r="B239" s="2" t="s">
        <v>29</v>
      </c>
      <c r="C239" s="2" t="s">
        <v>12</v>
      </c>
      <c r="D239" s="14">
        <v>6245.0</v>
      </c>
      <c r="E239" s="15" t="str">
        <f t="shared" si="1"/>
        <v>LBP_128_3r_PCA90.csvKnn910Fold</v>
      </c>
      <c r="F239" s="15">
        <f t="shared" si="2"/>
        <v>0.6245</v>
      </c>
    </row>
    <row r="240">
      <c r="A240" s="2" t="s">
        <v>17</v>
      </c>
      <c r="B240" s="2" t="s">
        <v>29</v>
      </c>
      <c r="C240" s="2" t="s">
        <v>13</v>
      </c>
      <c r="D240" s="14">
        <v>6242.0</v>
      </c>
      <c r="E240" s="15" t="str">
        <f t="shared" si="1"/>
        <v>LBP_128_3r_PCA90.csvKnn1010Fold</v>
      </c>
      <c r="F240" s="15">
        <f t="shared" si="2"/>
        <v>0.6242</v>
      </c>
    </row>
    <row r="241">
      <c r="A241" s="2" t="s">
        <v>17</v>
      </c>
      <c r="B241" s="2" t="s">
        <v>31</v>
      </c>
      <c r="C241" s="2" t="s">
        <v>4</v>
      </c>
      <c r="D241" s="14">
        <v>5796.0</v>
      </c>
      <c r="E241" s="15" t="str">
        <f t="shared" si="1"/>
        <v>LBP_128_6r.csvKnn110Fold</v>
      </c>
      <c r="F241" s="15">
        <f t="shared" si="2"/>
        <v>0.5796</v>
      </c>
    </row>
    <row r="242">
      <c r="A242" s="2" t="s">
        <v>17</v>
      </c>
      <c r="B242" s="2" t="s">
        <v>31</v>
      </c>
      <c r="C242" s="2" t="s">
        <v>5</v>
      </c>
      <c r="D242" s="14">
        <v>5650.0</v>
      </c>
      <c r="E242" s="15" t="str">
        <f t="shared" si="1"/>
        <v>LBP_128_6r.csvKnn210Fold</v>
      </c>
      <c r="F242" s="15">
        <f t="shared" si="2"/>
        <v>0.565</v>
      </c>
    </row>
    <row r="243">
      <c r="A243" s="2" t="s">
        <v>17</v>
      </c>
      <c r="B243" s="2" t="s">
        <v>31</v>
      </c>
      <c r="C243" s="2" t="s">
        <v>6</v>
      </c>
      <c r="D243" s="14">
        <v>6024.0</v>
      </c>
      <c r="E243" s="15" t="str">
        <f t="shared" si="1"/>
        <v>LBP_128_6r.csvKnn310Fold</v>
      </c>
      <c r="F243" s="15">
        <f t="shared" si="2"/>
        <v>0.6024</v>
      </c>
    </row>
    <row r="244">
      <c r="A244" s="2" t="s">
        <v>17</v>
      </c>
      <c r="B244" s="2" t="s">
        <v>31</v>
      </c>
      <c r="C244" s="2" t="s">
        <v>7</v>
      </c>
      <c r="D244" s="14">
        <v>5972.0</v>
      </c>
      <c r="E244" s="15" t="str">
        <f t="shared" si="1"/>
        <v>LBP_128_6r.csvKnn410Fold</v>
      </c>
      <c r="F244" s="15">
        <f t="shared" si="2"/>
        <v>0.5972</v>
      </c>
    </row>
    <row r="245">
      <c r="A245" s="2" t="s">
        <v>17</v>
      </c>
      <c r="B245" s="2" t="s">
        <v>31</v>
      </c>
      <c r="C245" s="2" t="s">
        <v>8</v>
      </c>
      <c r="D245" s="14">
        <v>6172.0</v>
      </c>
      <c r="E245" s="15" t="str">
        <f t="shared" si="1"/>
        <v>LBP_128_6r.csvKnn510Fold</v>
      </c>
      <c r="F245" s="15">
        <f t="shared" si="2"/>
        <v>0.6172</v>
      </c>
    </row>
    <row r="246">
      <c r="A246" s="2" t="s">
        <v>17</v>
      </c>
      <c r="B246" s="2" t="s">
        <v>31</v>
      </c>
      <c r="C246" s="2" t="s">
        <v>9</v>
      </c>
      <c r="D246" s="14">
        <v>6125.0</v>
      </c>
      <c r="E246" s="15" t="str">
        <f t="shared" si="1"/>
        <v>LBP_128_6r.csvKnn610Fold</v>
      </c>
      <c r="F246" s="15">
        <f t="shared" si="2"/>
        <v>0.6125</v>
      </c>
    </row>
    <row r="247">
      <c r="A247" s="2" t="s">
        <v>17</v>
      </c>
      <c r="B247" s="2" t="s">
        <v>31</v>
      </c>
      <c r="C247" s="2" t="s">
        <v>10</v>
      </c>
      <c r="D247" s="14">
        <v>6190.0</v>
      </c>
      <c r="E247" s="15" t="str">
        <f t="shared" si="1"/>
        <v>LBP_128_6r.csvKnn710Fold</v>
      </c>
      <c r="F247" s="15">
        <f t="shared" si="2"/>
        <v>0.619</v>
      </c>
    </row>
    <row r="248">
      <c r="A248" s="2" t="s">
        <v>17</v>
      </c>
      <c r="B248" s="2" t="s">
        <v>31</v>
      </c>
      <c r="C248" s="2" t="s">
        <v>11</v>
      </c>
      <c r="D248" s="14">
        <v>6186.0</v>
      </c>
      <c r="E248" s="15" t="str">
        <f t="shared" si="1"/>
        <v>LBP_128_6r.csvKnn810Fold</v>
      </c>
      <c r="F248" s="15">
        <f t="shared" si="2"/>
        <v>0.6186</v>
      </c>
    </row>
    <row r="249">
      <c r="A249" s="2" t="s">
        <v>17</v>
      </c>
      <c r="B249" s="2" t="s">
        <v>31</v>
      </c>
      <c r="C249" s="2" t="s">
        <v>12</v>
      </c>
      <c r="D249" s="14">
        <v>6262.0</v>
      </c>
      <c r="E249" s="15" t="str">
        <f t="shared" si="1"/>
        <v>LBP_128_6r.csvKnn910Fold</v>
      </c>
      <c r="F249" s="15">
        <f t="shared" si="2"/>
        <v>0.6262</v>
      </c>
    </row>
    <row r="250">
      <c r="A250" s="2" t="s">
        <v>17</v>
      </c>
      <c r="B250" s="2" t="s">
        <v>31</v>
      </c>
      <c r="C250" s="2" t="s">
        <v>13</v>
      </c>
      <c r="D250" s="14">
        <v>6308.0</v>
      </c>
      <c r="E250" s="15" t="str">
        <f t="shared" si="1"/>
        <v>LBP_128_6r.csvKnn1010Fold</v>
      </c>
      <c r="F250" s="15">
        <f t="shared" si="2"/>
        <v>0.6308</v>
      </c>
    </row>
    <row r="251">
      <c r="A251" s="2" t="s">
        <v>17</v>
      </c>
      <c r="B251" s="2" t="s">
        <v>33</v>
      </c>
      <c r="C251" s="2" t="s">
        <v>4</v>
      </c>
      <c r="D251" s="14">
        <v>5807.0</v>
      </c>
      <c r="E251" s="15" t="str">
        <f t="shared" si="1"/>
        <v>LBP_128_6r_PCA75.csvKnn110Fold</v>
      </c>
      <c r="F251" s="15">
        <f t="shared" si="2"/>
        <v>0.5807</v>
      </c>
    </row>
    <row r="252">
      <c r="A252" s="2" t="s">
        <v>17</v>
      </c>
      <c r="B252" s="2" t="s">
        <v>33</v>
      </c>
      <c r="C252" s="2" t="s">
        <v>5</v>
      </c>
      <c r="D252" s="14">
        <v>5576.0</v>
      </c>
      <c r="E252" s="15" t="str">
        <f t="shared" si="1"/>
        <v>LBP_128_6r_PCA75.csvKnn210Fold</v>
      </c>
      <c r="F252" s="15">
        <f t="shared" si="2"/>
        <v>0.5576</v>
      </c>
    </row>
    <row r="253">
      <c r="A253" s="2" t="s">
        <v>17</v>
      </c>
      <c r="B253" s="2" t="s">
        <v>33</v>
      </c>
      <c r="C253" s="2" t="s">
        <v>6</v>
      </c>
      <c r="D253" s="14">
        <v>5984.0</v>
      </c>
      <c r="E253" s="15" t="str">
        <f t="shared" si="1"/>
        <v>LBP_128_6r_PCA75.csvKnn310Fold</v>
      </c>
      <c r="F253" s="15">
        <f t="shared" si="2"/>
        <v>0.5984</v>
      </c>
    </row>
    <row r="254">
      <c r="A254" s="2" t="s">
        <v>17</v>
      </c>
      <c r="B254" s="2" t="s">
        <v>33</v>
      </c>
      <c r="C254" s="2" t="s">
        <v>7</v>
      </c>
      <c r="D254" s="14">
        <v>5901.0</v>
      </c>
      <c r="E254" s="15" t="str">
        <f t="shared" si="1"/>
        <v>LBP_128_6r_PCA75.csvKnn410Fold</v>
      </c>
      <c r="F254" s="15">
        <f t="shared" si="2"/>
        <v>0.5901</v>
      </c>
    </row>
    <row r="255">
      <c r="A255" s="2" t="s">
        <v>17</v>
      </c>
      <c r="B255" s="2" t="s">
        <v>33</v>
      </c>
      <c r="C255" s="2" t="s">
        <v>8</v>
      </c>
      <c r="D255" s="14">
        <v>6014.0</v>
      </c>
      <c r="E255" s="15" t="str">
        <f t="shared" si="1"/>
        <v>LBP_128_6r_PCA75.csvKnn510Fold</v>
      </c>
      <c r="F255" s="15">
        <f t="shared" si="2"/>
        <v>0.6014</v>
      </c>
    </row>
    <row r="256">
      <c r="A256" s="2" t="s">
        <v>17</v>
      </c>
      <c r="B256" s="2" t="s">
        <v>33</v>
      </c>
      <c r="C256" s="2" t="s">
        <v>9</v>
      </c>
      <c r="D256" s="14">
        <v>6002.0</v>
      </c>
      <c r="E256" s="15" t="str">
        <f t="shared" si="1"/>
        <v>LBP_128_6r_PCA75.csvKnn610Fold</v>
      </c>
      <c r="F256" s="15">
        <f t="shared" si="2"/>
        <v>0.6002</v>
      </c>
    </row>
    <row r="257">
      <c r="A257" s="2" t="s">
        <v>17</v>
      </c>
      <c r="B257" s="2" t="s">
        <v>33</v>
      </c>
      <c r="C257" s="2" t="s">
        <v>10</v>
      </c>
      <c r="D257" s="14">
        <v>6158.0</v>
      </c>
      <c r="E257" s="15" t="str">
        <f t="shared" si="1"/>
        <v>LBP_128_6r_PCA75.csvKnn710Fold</v>
      </c>
      <c r="F257" s="15">
        <f t="shared" si="2"/>
        <v>0.6158</v>
      </c>
    </row>
    <row r="258">
      <c r="A258" s="2" t="s">
        <v>17</v>
      </c>
      <c r="B258" s="2" t="s">
        <v>33</v>
      </c>
      <c r="C258" s="2" t="s">
        <v>11</v>
      </c>
      <c r="D258" s="14">
        <v>6134.0</v>
      </c>
      <c r="E258" s="15" t="str">
        <f t="shared" si="1"/>
        <v>LBP_128_6r_PCA75.csvKnn810Fold</v>
      </c>
      <c r="F258" s="15">
        <f t="shared" si="2"/>
        <v>0.6134</v>
      </c>
    </row>
    <row r="259">
      <c r="A259" s="2" t="s">
        <v>17</v>
      </c>
      <c r="B259" s="2" t="s">
        <v>33</v>
      </c>
      <c r="C259" s="2" t="s">
        <v>12</v>
      </c>
      <c r="D259" s="14">
        <v>6189.0</v>
      </c>
      <c r="E259" s="15" t="str">
        <f t="shared" si="1"/>
        <v>LBP_128_6r_PCA75.csvKnn910Fold</v>
      </c>
      <c r="F259" s="15">
        <f t="shared" si="2"/>
        <v>0.6189</v>
      </c>
    </row>
    <row r="260">
      <c r="A260" s="2" t="s">
        <v>17</v>
      </c>
      <c r="B260" s="2" t="s">
        <v>33</v>
      </c>
      <c r="C260" s="2" t="s">
        <v>13</v>
      </c>
      <c r="D260" s="14">
        <v>6211.0</v>
      </c>
      <c r="E260" s="15" t="str">
        <f t="shared" si="1"/>
        <v>LBP_128_6r_PCA75.csvKnn1010Fold</v>
      </c>
      <c r="F260" s="15">
        <f t="shared" si="2"/>
        <v>0.6211</v>
      </c>
    </row>
    <row r="261">
      <c r="A261" s="2" t="s">
        <v>17</v>
      </c>
      <c r="B261" s="2" t="s">
        <v>35</v>
      </c>
      <c r="C261" s="2" t="s">
        <v>4</v>
      </c>
      <c r="D261" s="14">
        <v>5829.0</v>
      </c>
      <c r="E261" s="15" t="str">
        <f t="shared" si="1"/>
        <v>LBP_128_6r_PCA90.csvKnn110Fold</v>
      </c>
      <c r="F261" s="15">
        <f t="shared" si="2"/>
        <v>0.5829</v>
      </c>
    </row>
    <row r="262">
      <c r="A262" s="2" t="s">
        <v>17</v>
      </c>
      <c r="B262" s="2" t="s">
        <v>35</v>
      </c>
      <c r="C262" s="2" t="s">
        <v>5</v>
      </c>
      <c r="D262" s="14">
        <v>5578.0</v>
      </c>
      <c r="E262" s="15" t="str">
        <f t="shared" si="1"/>
        <v>LBP_128_6r_PCA90.csvKnn210Fold</v>
      </c>
      <c r="F262" s="15">
        <f t="shared" si="2"/>
        <v>0.5578</v>
      </c>
    </row>
    <row r="263">
      <c r="A263" s="2" t="s">
        <v>17</v>
      </c>
      <c r="B263" s="2" t="s">
        <v>35</v>
      </c>
      <c r="C263" s="2" t="s">
        <v>6</v>
      </c>
      <c r="D263" s="14">
        <v>6047.0</v>
      </c>
      <c r="E263" s="15" t="str">
        <f t="shared" si="1"/>
        <v>LBP_128_6r_PCA90.csvKnn310Fold</v>
      </c>
      <c r="F263" s="15">
        <f t="shared" si="2"/>
        <v>0.6047</v>
      </c>
    </row>
    <row r="264">
      <c r="A264" s="2" t="s">
        <v>17</v>
      </c>
      <c r="B264" s="2" t="s">
        <v>35</v>
      </c>
      <c r="C264" s="2" t="s">
        <v>7</v>
      </c>
      <c r="D264" s="14">
        <v>6050.0</v>
      </c>
      <c r="E264" s="15" t="str">
        <f t="shared" si="1"/>
        <v>LBP_128_6r_PCA90.csvKnn410Fold</v>
      </c>
      <c r="F264" s="15">
        <f t="shared" si="2"/>
        <v>0.605</v>
      </c>
    </row>
    <row r="265">
      <c r="A265" s="2" t="s">
        <v>17</v>
      </c>
      <c r="B265" s="2" t="s">
        <v>35</v>
      </c>
      <c r="C265" s="2" t="s">
        <v>8</v>
      </c>
      <c r="D265" s="14">
        <v>6164.0</v>
      </c>
      <c r="E265" s="15" t="str">
        <f t="shared" si="1"/>
        <v>LBP_128_6r_PCA90.csvKnn510Fold</v>
      </c>
      <c r="F265" s="15">
        <f t="shared" si="2"/>
        <v>0.6164</v>
      </c>
    </row>
    <row r="266">
      <c r="A266" s="2" t="s">
        <v>17</v>
      </c>
      <c r="B266" s="2" t="s">
        <v>35</v>
      </c>
      <c r="C266" s="2" t="s">
        <v>9</v>
      </c>
      <c r="D266" s="14">
        <v>6170.0</v>
      </c>
      <c r="E266" s="15" t="str">
        <f t="shared" si="1"/>
        <v>LBP_128_6r_PCA90.csvKnn610Fold</v>
      </c>
      <c r="F266" s="15">
        <f t="shared" si="2"/>
        <v>0.617</v>
      </c>
    </row>
    <row r="267">
      <c r="A267" s="2" t="s">
        <v>17</v>
      </c>
      <c r="B267" s="2" t="s">
        <v>35</v>
      </c>
      <c r="C267" s="2" t="s">
        <v>10</v>
      </c>
      <c r="D267" s="14">
        <v>6301.0</v>
      </c>
      <c r="E267" s="15" t="str">
        <f t="shared" si="1"/>
        <v>LBP_128_6r_PCA90.csvKnn710Fold</v>
      </c>
      <c r="F267" s="15">
        <f t="shared" si="2"/>
        <v>0.6301</v>
      </c>
    </row>
    <row r="268">
      <c r="A268" s="2" t="s">
        <v>17</v>
      </c>
      <c r="B268" s="2" t="s">
        <v>35</v>
      </c>
      <c r="C268" s="2" t="s">
        <v>11</v>
      </c>
      <c r="D268" s="14">
        <v>6267.0</v>
      </c>
      <c r="E268" s="15" t="str">
        <f t="shared" si="1"/>
        <v>LBP_128_6r_PCA90.csvKnn810Fold</v>
      </c>
      <c r="F268" s="15">
        <f t="shared" si="2"/>
        <v>0.6267</v>
      </c>
    </row>
    <row r="269">
      <c r="A269" s="2" t="s">
        <v>17</v>
      </c>
      <c r="B269" s="2" t="s">
        <v>35</v>
      </c>
      <c r="C269" s="2" t="s">
        <v>12</v>
      </c>
      <c r="D269" s="14">
        <v>6347.0</v>
      </c>
      <c r="E269" s="15" t="str">
        <f t="shared" si="1"/>
        <v>LBP_128_6r_PCA90.csvKnn910Fold</v>
      </c>
      <c r="F269" s="15">
        <f t="shared" si="2"/>
        <v>0.6347</v>
      </c>
    </row>
    <row r="270">
      <c r="A270" s="2" t="s">
        <v>17</v>
      </c>
      <c r="B270" s="2" t="s">
        <v>35</v>
      </c>
      <c r="C270" s="2" t="s">
        <v>13</v>
      </c>
      <c r="D270" s="14">
        <v>6305.0</v>
      </c>
      <c r="E270" s="15" t="str">
        <f t="shared" si="1"/>
        <v>LBP_128_6r_PCA90.csvKnn1010Fold</v>
      </c>
      <c r="F270" s="15">
        <f t="shared" si="2"/>
        <v>0.6305</v>
      </c>
    </row>
    <row r="271">
      <c r="A271" s="2" t="s">
        <v>17</v>
      </c>
      <c r="B271" s="2" t="s">
        <v>37</v>
      </c>
      <c r="C271" s="2" t="s">
        <v>4</v>
      </c>
      <c r="D271" s="14">
        <v>5884.0</v>
      </c>
      <c r="E271" s="15" t="str">
        <f t="shared" si="1"/>
        <v>LBP_256_12r.csvKnn110Fold</v>
      </c>
      <c r="F271" s="15">
        <f t="shared" si="2"/>
        <v>0.5884</v>
      </c>
    </row>
    <row r="272">
      <c r="A272" s="2" t="s">
        <v>17</v>
      </c>
      <c r="B272" s="2" t="s">
        <v>37</v>
      </c>
      <c r="C272" s="2" t="s">
        <v>5</v>
      </c>
      <c r="D272" s="14">
        <v>5615.0</v>
      </c>
      <c r="E272" s="15" t="str">
        <f t="shared" si="1"/>
        <v>LBP_256_12r.csvKnn210Fold</v>
      </c>
      <c r="F272" s="15">
        <f t="shared" si="2"/>
        <v>0.5615</v>
      </c>
    </row>
    <row r="273">
      <c r="A273" s="2" t="s">
        <v>17</v>
      </c>
      <c r="B273" s="2" t="s">
        <v>37</v>
      </c>
      <c r="C273" s="2" t="s">
        <v>6</v>
      </c>
      <c r="D273" s="14">
        <v>6120.0</v>
      </c>
      <c r="E273" s="15" t="str">
        <f t="shared" si="1"/>
        <v>LBP_256_12r.csvKnn310Fold</v>
      </c>
      <c r="F273" s="15">
        <f t="shared" si="2"/>
        <v>0.612</v>
      </c>
    </row>
    <row r="274">
      <c r="A274" s="2" t="s">
        <v>17</v>
      </c>
      <c r="B274" s="2" t="s">
        <v>37</v>
      </c>
      <c r="C274" s="2" t="s">
        <v>7</v>
      </c>
      <c r="D274" s="14">
        <v>6013.0</v>
      </c>
      <c r="E274" s="15" t="str">
        <f t="shared" si="1"/>
        <v>LBP_256_12r.csvKnn410Fold</v>
      </c>
      <c r="F274" s="15">
        <f t="shared" si="2"/>
        <v>0.6013</v>
      </c>
    </row>
    <row r="275">
      <c r="A275" s="2" t="s">
        <v>17</v>
      </c>
      <c r="B275" s="2" t="s">
        <v>37</v>
      </c>
      <c r="C275" s="2" t="s">
        <v>8</v>
      </c>
      <c r="D275" s="14">
        <v>6204.0</v>
      </c>
      <c r="E275" s="15" t="str">
        <f t="shared" si="1"/>
        <v>LBP_256_12r.csvKnn510Fold</v>
      </c>
      <c r="F275" s="15">
        <f t="shared" si="2"/>
        <v>0.6204</v>
      </c>
    </row>
    <row r="276">
      <c r="A276" s="2" t="s">
        <v>17</v>
      </c>
      <c r="B276" s="2" t="s">
        <v>37</v>
      </c>
      <c r="C276" s="2" t="s">
        <v>9</v>
      </c>
      <c r="D276" s="14">
        <v>6222.0</v>
      </c>
      <c r="E276" s="15" t="str">
        <f t="shared" si="1"/>
        <v>LBP_256_12r.csvKnn610Fold</v>
      </c>
      <c r="F276" s="15">
        <f t="shared" si="2"/>
        <v>0.6222</v>
      </c>
    </row>
    <row r="277">
      <c r="A277" s="2" t="s">
        <v>17</v>
      </c>
      <c r="B277" s="2" t="s">
        <v>37</v>
      </c>
      <c r="C277" s="2" t="s">
        <v>10</v>
      </c>
      <c r="D277" s="14">
        <v>6280.0</v>
      </c>
      <c r="E277" s="15" t="str">
        <f t="shared" si="1"/>
        <v>LBP_256_12r.csvKnn710Fold</v>
      </c>
      <c r="F277" s="15">
        <f t="shared" si="2"/>
        <v>0.628</v>
      </c>
    </row>
    <row r="278">
      <c r="A278" s="2" t="s">
        <v>17</v>
      </c>
      <c r="B278" s="2" t="s">
        <v>37</v>
      </c>
      <c r="C278" s="2" t="s">
        <v>11</v>
      </c>
      <c r="D278" s="14">
        <v>6271.0</v>
      </c>
      <c r="E278" s="15" t="str">
        <f t="shared" si="1"/>
        <v>LBP_256_12r.csvKnn810Fold</v>
      </c>
      <c r="F278" s="15">
        <f t="shared" si="2"/>
        <v>0.6271</v>
      </c>
    </row>
    <row r="279">
      <c r="A279" s="2" t="s">
        <v>17</v>
      </c>
      <c r="B279" s="2" t="s">
        <v>37</v>
      </c>
      <c r="C279" s="2" t="s">
        <v>12</v>
      </c>
      <c r="D279" s="14">
        <v>6316.0</v>
      </c>
      <c r="E279" s="15" t="str">
        <f t="shared" si="1"/>
        <v>LBP_256_12r.csvKnn910Fold</v>
      </c>
      <c r="F279" s="15">
        <f t="shared" si="2"/>
        <v>0.6316</v>
      </c>
    </row>
    <row r="280">
      <c r="A280" s="2" t="s">
        <v>17</v>
      </c>
      <c r="B280" s="2" t="s">
        <v>37</v>
      </c>
      <c r="C280" s="2" t="s">
        <v>13</v>
      </c>
      <c r="D280" s="14">
        <v>6344.0</v>
      </c>
      <c r="E280" s="15" t="str">
        <f t="shared" si="1"/>
        <v>LBP_256_12r.csvKnn1010Fold</v>
      </c>
      <c r="F280" s="15">
        <f t="shared" si="2"/>
        <v>0.6344</v>
      </c>
    </row>
    <row r="281">
      <c r="A281" s="2" t="s">
        <v>17</v>
      </c>
      <c r="B281" s="2" t="s">
        <v>47</v>
      </c>
      <c r="C281" s="2" t="s">
        <v>4</v>
      </c>
      <c r="D281" s="14">
        <v>5607.0</v>
      </c>
      <c r="E281" s="15" t="str">
        <f t="shared" si="1"/>
        <v>LBP_256_12r_PCA75.csvKnn110Fold</v>
      </c>
      <c r="F281" s="15">
        <f t="shared" si="2"/>
        <v>0.5607</v>
      </c>
    </row>
    <row r="282">
      <c r="A282" s="2" t="s">
        <v>17</v>
      </c>
      <c r="B282" s="2" t="s">
        <v>47</v>
      </c>
      <c r="C282" s="2" t="s">
        <v>5</v>
      </c>
      <c r="D282" s="14">
        <v>5247.0</v>
      </c>
      <c r="E282" s="15" t="str">
        <f t="shared" si="1"/>
        <v>LBP_256_12r_PCA75.csvKnn210Fold</v>
      </c>
      <c r="F282" s="15">
        <f t="shared" si="2"/>
        <v>0.5247</v>
      </c>
    </row>
    <row r="283">
      <c r="A283" s="2" t="s">
        <v>17</v>
      </c>
      <c r="B283" s="2" t="s">
        <v>47</v>
      </c>
      <c r="C283" s="2" t="s">
        <v>6</v>
      </c>
      <c r="D283" s="14">
        <v>5642.0</v>
      </c>
      <c r="E283" s="15" t="str">
        <f t="shared" si="1"/>
        <v>LBP_256_12r_PCA75.csvKnn310Fold</v>
      </c>
      <c r="F283" s="15">
        <f t="shared" si="2"/>
        <v>0.5642</v>
      </c>
    </row>
    <row r="284">
      <c r="A284" s="2" t="s">
        <v>17</v>
      </c>
      <c r="B284" s="2" t="s">
        <v>47</v>
      </c>
      <c r="C284" s="2" t="s">
        <v>7</v>
      </c>
      <c r="D284" s="14">
        <v>5502.0</v>
      </c>
      <c r="E284" s="15" t="str">
        <f t="shared" si="1"/>
        <v>LBP_256_12r_PCA75.csvKnn410Fold</v>
      </c>
      <c r="F284" s="15">
        <f t="shared" si="2"/>
        <v>0.5502</v>
      </c>
    </row>
    <row r="285">
      <c r="A285" s="2" t="s">
        <v>17</v>
      </c>
      <c r="B285" s="2" t="s">
        <v>47</v>
      </c>
      <c r="C285" s="2" t="s">
        <v>8</v>
      </c>
      <c r="D285" s="14">
        <v>5746.0</v>
      </c>
      <c r="E285" s="15" t="str">
        <f t="shared" si="1"/>
        <v>LBP_256_12r_PCA75.csvKnn510Fold</v>
      </c>
      <c r="F285" s="15">
        <f t="shared" si="2"/>
        <v>0.5746</v>
      </c>
    </row>
    <row r="286">
      <c r="A286" s="2" t="s">
        <v>17</v>
      </c>
      <c r="B286" s="2" t="s">
        <v>47</v>
      </c>
      <c r="C286" s="2" t="s">
        <v>9</v>
      </c>
      <c r="D286" s="14">
        <v>5696.0</v>
      </c>
      <c r="E286" s="15" t="str">
        <f t="shared" si="1"/>
        <v>LBP_256_12r_PCA75.csvKnn610Fold</v>
      </c>
      <c r="F286" s="15">
        <f t="shared" si="2"/>
        <v>0.5696</v>
      </c>
    </row>
    <row r="287">
      <c r="A287" s="2" t="s">
        <v>17</v>
      </c>
      <c r="B287" s="2" t="s">
        <v>47</v>
      </c>
      <c r="C287" s="2" t="s">
        <v>10</v>
      </c>
      <c r="D287" s="14">
        <v>5836.0</v>
      </c>
      <c r="E287" s="15" t="str">
        <f t="shared" si="1"/>
        <v>LBP_256_12r_PCA75.csvKnn710Fold</v>
      </c>
      <c r="F287" s="15">
        <f t="shared" si="2"/>
        <v>0.5836</v>
      </c>
    </row>
    <row r="288">
      <c r="A288" s="2" t="s">
        <v>17</v>
      </c>
      <c r="B288" s="2" t="s">
        <v>47</v>
      </c>
      <c r="C288" s="2" t="s">
        <v>11</v>
      </c>
      <c r="D288" s="14">
        <v>5728.0</v>
      </c>
      <c r="E288" s="15" t="str">
        <f t="shared" si="1"/>
        <v>LBP_256_12r_PCA75.csvKnn810Fold</v>
      </c>
      <c r="F288" s="15">
        <f t="shared" si="2"/>
        <v>0.5728</v>
      </c>
    </row>
    <row r="289">
      <c r="A289" s="2" t="s">
        <v>17</v>
      </c>
      <c r="B289" s="2" t="s">
        <v>47</v>
      </c>
      <c r="C289" s="2" t="s">
        <v>12</v>
      </c>
      <c r="D289" s="14">
        <v>5927.0</v>
      </c>
      <c r="E289" s="15" t="str">
        <f t="shared" si="1"/>
        <v>LBP_256_12r_PCA75.csvKnn910Fold</v>
      </c>
      <c r="F289" s="15">
        <f t="shared" si="2"/>
        <v>0.5927</v>
      </c>
    </row>
    <row r="290">
      <c r="A290" s="2" t="s">
        <v>17</v>
      </c>
      <c r="B290" s="2" t="s">
        <v>47</v>
      </c>
      <c r="C290" s="2" t="s">
        <v>13</v>
      </c>
      <c r="D290" s="14">
        <v>5895.0</v>
      </c>
      <c r="E290" s="15" t="str">
        <f t="shared" si="1"/>
        <v>LBP_256_12r_PCA75.csvKnn1010Fold</v>
      </c>
      <c r="F290" s="15">
        <f t="shared" si="2"/>
        <v>0.5895</v>
      </c>
    </row>
    <row r="291">
      <c r="A291" s="2" t="s">
        <v>17</v>
      </c>
      <c r="B291" s="2" t="s">
        <v>38</v>
      </c>
      <c r="C291" s="2" t="s">
        <v>4</v>
      </c>
      <c r="D291" s="14">
        <v>5914.0</v>
      </c>
      <c r="E291" s="15" t="str">
        <f t="shared" si="1"/>
        <v>LBP_256_12r_PCA90.csvKnn110Fold</v>
      </c>
      <c r="F291" s="15">
        <f t="shared" si="2"/>
        <v>0.5914</v>
      </c>
    </row>
    <row r="292">
      <c r="A292" s="2" t="s">
        <v>17</v>
      </c>
      <c r="B292" s="2" t="s">
        <v>38</v>
      </c>
      <c r="C292" s="2" t="s">
        <v>5</v>
      </c>
      <c r="D292" s="14">
        <v>5589.0</v>
      </c>
      <c r="E292" s="15" t="str">
        <f t="shared" si="1"/>
        <v>LBP_256_12r_PCA90.csvKnn210Fold</v>
      </c>
      <c r="F292" s="15">
        <f t="shared" si="2"/>
        <v>0.5589</v>
      </c>
    </row>
    <row r="293">
      <c r="A293" s="2" t="s">
        <v>17</v>
      </c>
      <c r="B293" s="2" t="s">
        <v>38</v>
      </c>
      <c r="C293" s="2" t="s">
        <v>6</v>
      </c>
      <c r="D293" s="14">
        <v>5929.0</v>
      </c>
      <c r="E293" s="15" t="str">
        <f t="shared" si="1"/>
        <v>LBP_256_12r_PCA90.csvKnn310Fold</v>
      </c>
      <c r="F293" s="15">
        <f t="shared" si="2"/>
        <v>0.5929</v>
      </c>
    </row>
    <row r="294">
      <c r="A294" s="2" t="s">
        <v>17</v>
      </c>
      <c r="B294" s="2" t="s">
        <v>38</v>
      </c>
      <c r="C294" s="2" t="s">
        <v>7</v>
      </c>
      <c r="D294" s="14">
        <v>5897.0</v>
      </c>
      <c r="E294" s="15" t="str">
        <f t="shared" si="1"/>
        <v>LBP_256_12r_PCA90.csvKnn410Fold</v>
      </c>
      <c r="F294" s="15">
        <f t="shared" si="2"/>
        <v>0.5897</v>
      </c>
    </row>
    <row r="295">
      <c r="A295" s="2" t="s">
        <v>17</v>
      </c>
      <c r="B295" s="2" t="s">
        <v>38</v>
      </c>
      <c r="C295" s="2" t="s">
        <v>8</v>
      </c>
      <c r="D295" s="14">
        <v>5968.0</v>
      </c>
      <c r="E295" s="15" t="str">
        <f t="shared" si="1"/>
        <v>LBP_256_12r_PCA90.csvKnn510Fold</v>
      </c>
      <c r="F295" s="15">
        <f t="shared" si="2"/>
        <v>0.5968</v>
      </c>
    </row>
    <row r="296">
      <c r="A296" s="2" t="s">
        <v>17</v>
      </c>
      <c r="B296" s="2" t="s">
        <v>38</v>
      </c>
      <c r="C296" s="2" t="s">
        <v>9</v>
      </c>
      <c r="D296" s="14">
        <v>6001.0</v>
      </c>
      <c r="E296" s="15" t="str">
        <f t="shared" si="1"/>
        <v>LBP_256_12r_PCA90.csvKnn610Fold</v>
      </c>
      <c r="F296" s="15">
        <f t="shared" si="2"/>
        <v>0.6001</v>
      </c>
    </row>
    <row r="297">
      <c r="A297" s="2" t="s">
        <v>17</v>
      </c>
      <c r="B297" s="2" t="s">
        <v>38</v>
      </c>
      <c r="C297" s="2" t="s">
        <v>10</v>
      </c>
      <c r="D297" s="14">
        <v>6064.0</v>
      </c>
      <c r="E297" s="15" t="str">
        <f t="shared" si="1"/>
        <v>LBP_256_12r_PCA90.csvKnn710Fold</v>
      </c>
      <c r="F297" s="15">
        <f t="shared" si="2"/>
        <v>0.6064</v>
      </c>
    </row>
    <row r="298">
      <c r="A298" s="2" t="s">
        <v>17</v>
      </c>
      <c r="B298" s="2" t="s">
        <v>38</v>
      </c>
      <c r="C298" s="2" t="s">
        <v>11</v>
      </c>
      <c r="D298" s="14">
        <v>6090.0</v>
      </c>
      <c r="E298" s="15" t="str">
        <f t="shared" si="1"/>
        <v>LBP_256_12r_PCA90.csvKnn810Fold</v>
      </c>
      <c r="F298" s="15">
        <f t="shared" si="2"/>
        <v>0.609</v>
      </c>
    </row>
    <row r="299">
      <c r="A299" s="2" t="s">
        <v>17</v>
      </c>
      <c r="B299" s="2" t="s">
        <v>38</v>
      </c>
      <c r="C299" s="2" t="s">
        <v>12</v>
      </c>
      <c r="D299" s="14">
        <v>6157.0</v>
      </c>
      <c r="E299" s="15" t="str">
        <f t="shared" si="1"/>
        <v>LBP_256_12r_PCA90.csvKnn910Fold</v>
      </c>
      <c r="F299" s="15">
        <f t="shared" si="2"/>
        <v>0.6157</v>
      </c>
    </row>
    <row r="300">
      <c r="A300" s="2" t="s">
        <v>17</v>
      </c>
      <c r="B300" s="2" t="s">
        <v>38</v>
      </c>
      <c r="C300" s="2" t="s">
        <v>13</v>
      </c>
      <c r="D300" s="14">
        <v>6150.0</v>
      </c>
      <c r="E300" s="15" t="str">
        <f t="shared" si="1"/>
        <v>LBP_256_12r_PCA90.csvKnn1010Fold</v>
      </c>
      <c r="F300" s="15">
        <f t="shared" si="2"/>
        <v>0.615</v>
      </c>
    </row>
    <row r="301">
      <c r="A301" s="2" t="s">
        <v>17</v>
      </c>
      <c r="B301" s="2" t="s">
        <v>48</v>
      </c>
      <c r="C301" s="2" t="s">
        <v>4</v>
      </c>
      <c r="D301" s="14">
        <v>5791.0</v>
      </c>
      <c r="E301" s="15" t="str">
        <f t="shared" si="1"/>
        <v>LBP_256_3r.csvKnn110Fold</v>
      </c>
      <c r="F301" s="15">
        <f t="shared" si="2"/>
        <v>0.5791</v>
      </c>
    </row>
    <row r="302">
      <c r="A302" s="2" t="s">
        <v>17</v>
      </c>
      <c r="B302" s="2" t="s">
        <v>48</v>
      </c>
      <c r="C302" s="2" t="s">
        <v>5</v>
      </c>
      <c r="D302" s="14">
        <v>5553.0</v>
      </c>
      <c r="E302" s="15" t="str">
        <f t="shared" si="1"/>
        <v>LBP_256_3r.csvKnn210Fold</v>
      </c>
      <c r="F302" s="15">
        <f t="shared" si="2"/>
        <v>0.5553</v>
      </c>
    </row>
    <row r="303">
      <c r="A303" s="2" t="s">
        <v>17</v>
      </c>
      <c r="B303" s="2" t="s">
        <v>48</v>
      </c>
      <c r="C303" s="2" t="s">
        <v>6</v>
      </c>
      <c r="D303" s="14">
        <v>5821.0</v>
      </c>
      <c r="E303" s="15" t="str">
        <f t="shared" si="1"/>
        <v>LBP_256_3r.csvKnn310Fold</v>
      </c>
      <c r="F303" s="15">
        <f t="shared" si="2"/>
        <v>0.5821</v>
      </c>
    </row>
    <row r="304">
      <c r="A304" s="2" t="s">
        <v>17</v>
      </c>
      <c r="B304" s="2" t="s">
        <v>48</v>
      </c>
      <c r="C304" s="2" t="s">
        <v>7</v>
      </c>
      <c r="D304" s="14">
        <v>5711.0</v>
      </c>
      <c r="E304" s="15" t="str">
        <f t="shared" si="1"/>
        <v>LBP_256_3r.csvKnn410Fold</v>
      </c>
      <c r="F304" s="15">
        <f t="shared" si="2"/>
        <v>0.5711</v>
      </c>
    </row>
    <row r="305">
      <c r="A305" s="2" t="s">
        <v>17</v>
      </c>
      <c r="B305" s="2" t="s">
        <v>48</v>
      </c>
      <c r="C305" s="2" t="s">
        <v>8</v>
      </c>
      <c r="D305" s="14">
        <v>5953.0</v>
      </c>
      <c r="E305" s="15" t="str">
        <f t="shared" si="1"/>
        <v>LBP_256_3r.csvKnn510Fold</v>
      </c>
      <c r="F305" s="15">
        <f t="shared" si="2"/>
        <v>0.5953</v>
      </c>
    </row>
    <row r="306">
      <c r="A306" s="2" t="s">
        <v>17</v>
      </c>
      <c r="B306" s="2" t="s">
        <v>48</v>
      </c>
      <c r="C306" s="2" t="s">
        <v>9</v>
      </c>
      <c r="D306" s="14">
        <v>5931.0</v>
      </c>
      <c r="E306" s="15" t="str">
        <f t="shared" si="1"/>
        <v>LBP_256_3r.csvKnn610Fold</v>
      </c>
      <c r="F306" s="15">
        <f t="shared" si="2"/>
        <v>0.5931</v>
      </c>
    </row>
    <row r="307">
      <c r="A307" s="2" t="s">
        <v>17</v>
      </c>
      <c r="B307" s="2" t="s">
        <v>48</v>
      </c>
      <c r="C307" s="2" t="s">
        <v>10</v>
      </c>
      <c r="D307" s="14">
        <v>6040.0</v>
      </c>
      <c r="E307" s="15" t="str">
        <f t="shared" si="1"/>
        <v>LBP_256_3r.csvKnn710Fold</v>
      </c>
      <c r="F307" s="15">
        <f t="shared" si="2"/>
        <v>0.604</v>
      </c>
    </row>
    <row r="308">
      <c r="A308" s="2" t="s">
        <v>17</v>
      </c>
      <c r="B308" s="2" t="s">
        <v>48</v>
      </c>
      <c r="C308" s="2" t="s">
        <v>11</v>
      </c>
      <c r="D308" s="14">
        <v>6021.0</v>
      </c>
      <c r="E308" s="15" t="str">
        <f t="shared" si="1"/>
        <v>LBP_256_3r.csvKnn810Fold</v>
      </c>
      <c r="F308" s="15">
        <f t="shared" si="2"/>
        <v>0.6021</v>
      </c>
    </row>
    <row r="309">
      <c r="A309" s="2" t="s">
        <v>17</v>
      </c>
      <c r="B309" s="2" t="s">
        <v>48</v>
      </c>
      <c r="C309" s="2" t="s">
        <v>12</v>
      </c>
      <c r="D309" s="14">
        <v>6041.0</v>
      </c>
      <c r="E309" s="15" t="str">
        <f t="shared" si="1"/>
        <v>LBP_256_3r.csvKnn910Fold</v>
      </c>
      <c r="F309" s="15">
        <f t="shared" si="2"/>
        <v>0.6041</v>
      </c>
    </row>
    <row r="310">
      <c r="A310" s="2" t="s">
        <v>17</v>
      </c>
      <c r="B310" s="2" t="s">
        <v>48</v>
      </c>
      <c r="C310" s="2" t="s">
        <v>13</v>
      </c>
      <c r="D310" s="14">
        <v>6053.0</v>
      </c>
      <c r="E310" s="15" t="str">
        <f t="shared" si="1"/>
        <v>LBP_256_3r.csvKnn1010Fold</v>
      </c>
      <c r="F310" s="15">
        <f t="shared" si="2"/>
        <v>0.6053</v>
      </c>
    </row>
    <row r="311">
      <c r="A311" s="2" t="s">
        <v>17</v>
      </c>
      <c r="B311" s="2" t="s">
        <v>49</v>
      </c>
      <c r="C311" s="2" t="s">
        <v>4</v>
      </c>
      <c r="D311" s="14">
        <v>5574.0</v>
      </c>
      <c r="E311" s="15" t="str">
        <f t="shared" si="1"/>
        <v>LBP_256_3r_PCA75.csvKnn110Fold</v>
      </c>
      <c r="F311" s="15">
        <f t="shared" si="2"/>
        <v>0.5574</v>
      </c>
    </row>
    <row r="312">
      <c r="A312" s="2" t="s">
        <v>17</v>
      </c>
      <c r="B312" s="2" t="s">
        <v>49</v>
      </c>
      <c r="C312" s="2" t="s">
        <v>5</v>
      </c>
      <c r="D312" s="14">
        <v>5244.0</v>
      </c>
      <c r="E312" s="15" t="str">
        <f t="shared" si="1"/>
        <v>LBP_256_3r_PCA75.csvKnn210Fold</v>
      </c>
      <c r="F312" s="15">
        <f t="shared" si="2"/>
        <v>0.5244</v>
      </c>
    </row>
    <row r="313">
      <c r="A313" s="2" t="s">
        <v>17</v>
      </c>
      <c r="B313" s="2" t="s">
        <v>49</v>
      </c>
      <c r="C313" s="2" t="s">
        <v>6</v>
      </c>
      <c r="D313" s="14">
        <v>5676.0</v>
      </c>
      <c r="E313" s="15" t="str">
        <f t="shared" si="1"/>
        <v>LBP_256_3r_PCA75.csvKnn310Fold</v>
      </c>
      <c r="F313" s="15">
        <f t="shared" si="2"/>
        <v>0.5676</v>
      </c>
    </row>
    <row r="314">
      <c r="A314" s="2" t="s">
        <v>17</v>
      </c>
      <c r="B314" s="2" t="s">
        <v>49</v>
      </c>
      <c r="C314" s="2" t="s">
        <v>7</v>
      </c>
      <c r="D314" s="14">
        <v>5487.0</v>
      </c>
      <c r="E314" s="15" t="str">
        <f t="shared" si="1"/>
        <v>LBP_256_3r_PCA75.csvKnn410Fold</v>
      </c>
      <c r="F314" s="15">
        <f t="shared" si="2"/>
        <v>0.5487</v>
      </c>
    </row>
    <row r="315">
      <c r="A315" s="2" t="s">
        <v>17</v>
      </c>
      <c r="B315" s="2" t="s">
        <v>49</v>
      </c>
      <c r="C315" s="2" t="s">
        <v>8</v>
      </c>
      <c r="D315" s="14">
        <v>5728.0</v>
      </c>
      <c r="E315" s="15" t="str">
        <f t="shared" si="1"/>
        <v>LBP_256_3r_PCA75.csvKnn510Fold</v>
      </c>
      <c r="F315" s="15">
        <f t="shared" si="2"/>
        <v>0.5728</v>
      </c>
    </row>
    <row r="316">
      <c r="A316" s="2" t="s">
        <v>17</v>
      </c>
      <c r="B316" s="2" t="s">
        <v>49</v>
      </c>
      <c r="C316" s="2" t="s">
        <v>9</v>
      </c>
      <c r="D316" s="14">
        <v>5573.0</v>
      </c>
      <c r="E316" s="15" t="str">
        <f t="shared" si="1"/>
        <v>LBP_256_3r_PCA75.csvKnn610Fold</v>
      </c>
      <c r="F316" s="15">
        <f t="shared" si="2"/>
        <v>0.5573</v>
      </c>
    </row>
    <row r="317">
      <c r="A317" s="2" t="s">
        <v>17</v>
      </c>
      <c r="B317" s="2" t="s">
        <v>49</v>
      </c>
      <c r="C317" s="2" t="s">
        <v>10</v>
      </c>
      <c r="D317" s="14">
        <v>5784.0</v>
      </c>
      <c r="E317" s="15" t="str">
        <f t="shared" si="1"/>
        <v>LBP_256_3r_PCA75.csvKnn710Fold</v>
      </c>
      <c r="F317" s="15">
        <f t="shared" si="2"/>
        <v>0.5784</v>
      </c>
    </row>
    <row r="318">
      <c r="A318" s="2" t="s">
        <v>17</v>
      </c>
      <c r="B318" s="2" t="s">
        <v>49</v>
      </c>
      <c r="C318" s="2" t="s">
        <v>11</v>
      </c>
      <c r="D318" s="14">
        <v>5705.0</v>
      </c>
      <c r="E318" s="15" t="str">
        <f t="shared" si="1"/>
        <v>LBP_256_3r_PCA75.csvKnn810Fold</v>
      </c>
      <c r="F318" s="15">
        <f t="shared" si="2"/>
        <v>0.5705</v>
      </c>
    </row>
    <row r="319">
      <c r="A319" s="2" t="s">
        <v>17</v>
      </c>
      <c r="B319" s="2" t="s">
        <v>49</v>
      </c>
      <c r="C319" s="2" t="s">
        <v>12</v>
      </c>
      <c r="D319" s="14">
        <v>5740.0</v>
      </c>
      <c r="E319" s="15" t="str">
        <f t="shared" si="1"/>
        <v>LBP_256_3r_PCA75.csvKnn910Fold</v>
      </c>
      <c r="F319" s="15">
        <f t="shared" si="2"/>
        <v>0.574</v>
      </c>
    </row>
    <row r="320">
      <c r="A320" s="2" t="s">
        <v>17</v>
      </c>
      <c r="B320" s="2" t="s">
        <v>49</v>
      </c>
      <c r="C320" s="2" t="s">
        <v>13</v>
      </c>
      <c r="D320" s="14">
        <v>5716.0</v>
      </c>
      <c r="E320" s="15" t="str">
        <f t="shared" si="1"/>
        <v>LBP_256_3r_PCA75.csvKnn1010Fold</v>
      </c>
      <c r="F320" s="15">
        <f t="shared" si="2"/>
        <v>0.5716</v>
      </c>
    </row>
    <row r="321">
      <c r="A321" s="2" t="s">
        <v>17</v>
      </c>
      <c r="B321" s="2" t="s">
        <v>50</v>
      </c>
      <c r="C321" s="2" t="s">
        <v>4</v>
      </c>
      <c r="D321" s="14">
        <v>5749.0</v>
      </c>
      <c r="E321" s="15" t="str">
        <f t="shared" si="1"/>
        <v>LBP_256_3r_PCA90.csvKnn110Fold</v>
      </c>
      <c r="F321" s="15">
        <f t="shared" si="2"/>
        <v>0.5749</v>
      </c>
    </row>
    <row r="322">
      <c r="A322" s="2" t="s">
        <v>17</v>
      </c>
      <c r="B322" s="2" t="s">
        <v>50</v>
      </c>
      <c r="C322" s="2" t="s">
        <v>5</v>
      </c>
      <c r="D322" s="14">
        <v>5423.0</v>
      </c>
      <c r="E322" s="15" t="str">
        <f t="shared" si="1"/>
        <v>LBP_256_3r_PCA90.csvKnn210Fold</v>
      </c>
      <c r="F322" s="15">
        <f t="shared" si="2"/>
        <v>0.5423</v>
      </c>
    </row>
    <row r="323">
      <c r="A323" s="2" t="s">
        <v>17</v>
      </c>
      <c r="B323" s="2" t="s">
        <v>50</v>
      </c>
      <c r="C323" s="2" t="s">
        <v>6</v>
      </c>
      <c r="D323" s="14">
        <v>5853.0</v>
      </c>
      <c r="E323" s="15" t="str">
        <f t="shared" si="1"/>
        <v>LBP_256_3r_PCA90.csvKnn310Fold</v>
      </c>
      <c r="F323" s="15">
        <f t="shared" si="2"/>
        <v>0.5853</v>
      </c>
    </row>
    <row r="324">
      <c r="A324" s="2" t="s">
        <v>17</v>
      </c>
      <c r="B324" s="2" t="s">
        <v>50</v>
      </c>
      <c r="C324" s="2" t="s">
        <v>7</v>
      </c>
      <c r="D324" s="14">
        <v>5831.0</v>
      </c>
      <c r="E324" s="15" t="str">
        <f t="shared" si="1"/>
        <v>LBP_256_3r_PCA90.csvKnn410Fold</v>
      </c>
      <c r="F324" s="15">
        <f t="shared" si="2"/>
        <v>0.5831</v>
      </c>
    </row>
    <row r="325">
      <c r="A325" s="2" t="s">
        <v>17</v>
      </c>
      <c r="B325" s="2" t="s">
        <v>50</v>
      </c>
      <c r="C325" s="2" t="s">
        <v>8</v>
      </c>
      <c r="D325" s="14">
        <v>5995.0</v>
      </c>
      <c r="E325" s="15" t="str">
        <f t="shared" si="1"/>
        <v>LBP_256_3r_PCA90.csvKnn510Fold</v>
      </c>
      <c r="F325" s="15">
        <f t="shared" si="2"/>
        <v>0.5995</v>
      </c>
    </row>
    <row r="326">
      <c r="A326" s="2" t="s">
        <v>17</v>
      </c>
      <c r="B326" s="2" t="s">
        <v>50</v>
      </c>
      <c r="C326" s="2" t="s">
        <v>9</v>
      </c>
      <c r="D326" s="14">
        <v>5935.0</v>
      </c>
      <c r="E326" s="15" t="str">
        <f t="shared" si="1"/>
        <v>LBP_256_3r_PCA90.csvKnn610Fold</v>
      </c>
      <c r="F326" s="15">
        <f t="shared" si="2"/>
        <v>0.5935</v>
      </c>
    </row>
    <row r="327">
      <c r="A327" s="2" t="s">
        <v>17</v>
      </c>
      <c r="B327" s="2" t="s">
        <v>50</v>
      </c>
      <c r="C327" s="2" t="s">
        <v>10</v>
      </c>
      <c r="D327" s="14">
        <v>6045.0</v>
      </c>
      <c r="E327" s="15" t="str">
        <f t="shared" si="1"/>
        <v>LBP_256_3r_PCA90.csvKnn710Fold</v>
      </c>
      <c r="F327" s="15">
        <f t="shared" si="2"/>
        <v>0.6045</v>
      </c>
    </row>
    <row r="328">
      <c r="A328" s="2" t="s">
        <v>17</v>
      </c>
      <c r="B328" s="2" t="s">
        <v>50</v>
      </c>
      <c r="C328" s="2" t="s">
        <v>11</v>
      </c>
      <c r="D328" s="14">
        <v>6019.0</v>
      </c>
      <c r="E328" s="15" t="str">
        <f t="shared" si="1"/>
        <v>LBP_256_3r_PCA90.csvKnn810Fold</v>
      </c>
      <c r="F328" s="15">
        <f t="shared" si="2"/>
        <v>0.6019</v>
      </c>
    </row>
    <row r="329">
      <c r="A329" s="2" t="s">
        <v>17</v>
      </c>
      <c r="B329" s="2" t="s">
        <v>50</v>
      </c>
      <c r="C329" s="2" t="s">
        <v>12</v>
      </c>
      <c r="D329" s="14">
        <v>6038.0</v>
      </c>
      <c r="E329" s="15" t="str">
        <f t="shared" si="1"/>
        <v>LBP_256_3r_PCA90.csvKnn910Fold</v>
      </c>
      <c r="F329" s="15">
        <f t="shared" si="2"/>
        <v>0.6038</v>
      </c>
    </row>
    <row r="330">
      <c r="A330" s="2" t="s">
        <v>17</v>
      </c>
      <c r="B330" s="2" t="s">
        <v>50</v>
      </c>
      <c r="C330" s="2" t="s">
        <v>13</v>
      </c>
      <c r="D330" s="14">
        <v>6029.0</v>
      </c>
      <c r="E330" s="15" t="str">
        <f t="shared" si="1"/>
        <v>LBP_256_3r_PCA90.csvKnn1010Fold</v>
      </c>
      <c r="F330" s="15">
        <f t="shared" si="2"/>
        <v>0.6029</v>
      </c>
    </row>
    <row r="331">
      <c r="A331" s="2" t="s">
        <v>17</v>
      </c>
      <c r="B331" s="2" t="s">
        <v>39</v>
      </c>
      <c r="C331" s="2" t="s">
        <v>4</v>
      </c>
      <c r="D331" s="14">
        <v>6013.0</v>
      </c>
      <c r="E331" s="15" t="str">
        <f t="shared" si="1"/>
        <v>LBP_256_6r.csvKnn110Fold</v>
      </c>
      <c r="F331" s="15">
        <f t="shared" si="2"/>
        <v>0.6013</v>
      </c>
    </row>
    <row r="332">
      <c r="A332" s="2" t="s">
        <v>17</v>
      </c>
      <c r="B332" s="2" t="s">
        <v>39</v>
      </c>
      <c r="C332" s="2" t="s">
        <v>5</v>
      </c>
      <c r="D332" s="14">
        <v>5847.0</v>
      </c>
      <c r="E332" s="15" t="str">
        <f t="shared" si="1"/>
        <v>LBP_256_6r.csvKnn210Fold</v>
      </c>
      <c r="F332" s="15">
        <f t="shared" si="2"/>
        <v>0.5847</v>
      </c>
    </row>
    <row r="333">
      <c r="A333" s="2" t="s">
        <v>17</v>
      </c>
      <c r="B333" s="2" t="s">
        <v>39</v>
      </c>
      <c r="C333" s="2" t="s">
        <v>6</v>
      </c>
      <c r="D333" s="14">
        <v>6171.0</v>
      </c>
      <c r="E333" s="15" t="str">
        <f t="shared" si="1"/>
        <v>LBP_256_6r.csvKnn310Fold</v>
      </c>
      <c r="F333" s="15">
        <f t="shared" si="2"/>
        <v>0.6171</v>
      </c>
    </row>
    <row r="334">
      <c r="A334" s="2" t="s">
        <v>17</v>
      </c>
      <c r="B334" s="2" t="s">
        <v>39</v>
      </c>
      <c r="C334" s="2" t="s">
        <v>7</v>
      </c>
      <c r="D334" s="14">
        <v>6160.0</v>
      </c>
      <c r="E334" s="15" t="str">
        <f t="shared" si="1"/>
        <v>LBP_256_6r.csvKnn410Fold</v>
      </c>
      <c r="F334" s="15">
        <f t="shared" si="2"/>
        <v>0.616</v>
      </c>
    </row>
    <row r="335">
      <c r="A335" s="2" t="s">
        <v>17</v>
      </c>
      <c r="B335" s="2" t="s">
        <v>39</v>
      </c>
      <c r="C335" s="2" t="s">
        <v>8</v>
      </c>
      <c r="D335" s="14">
        <v>6260.0</v>
      </c>
      <c r="E335" s="15" t="str">
        <f t="shared" si="1"/>
        <v>LBP_256_6r.csvKnn510Fold</v>
      </c>
      <c r="F335" s="15">
        <f t="shared" si="2"/>
        <v>0.626</v>
      </c>
    </row>
    <row r="336">
      <c r="A336" s="2" t="s">
        <v>17</v>
      </c>
      <c r="B336" s="2" t="s">
        <v>39</v>
      </c>
      <c r="C336" s="2" t="s">
        <v>9</v>
      </c>
      <c r="D336" s="14">
        <v>6284.0</v>
      </c>
      <c r="E336" s="15" t="str">
        <f t="shared" si="1"/>
        <v>LBP_256_6r.csvKnn610Fold</v>
      </c>
      <c r="F336" s="15">
        <f t="shared" si="2"/>
        <v>0.6284</v>
      </c>
    </row>
    <row r="337">
      <c r="A337" s="2" t="s">
        <v>17</v>
      </c>
      <c r="B337" s="2" t="s">
        <v>39</v>
      </c>
      <c r="C337" s="2" t="s">
        <v>10</v>
      </c>
      <c r="D337" s="14">
        <v>6393.0</v>
      </c>
      <c r="E337" s="15" t="str">
        <f t="shared" si="1"/>
        <v>LBP_256_6r.csvKnn710Fold</v>
      </c>
      <c r="F337" s="15">
        <f t="shared" si="2"/>
        <v>0.6393</v>
      </c>
    </row>
    <row r="338">
      <c r="A338" s="2" t="s">
        <v>17</v>
      </c>
      <c r="B338" s="2" t="s">
        <v>39</v>
      </c>
      <c r="C338" s="2" t="s">
        <v>11</v>
      </c>
      <c r="D338" s="14">
        <v>6332.0</v>
      </c>
      <c r="E338" s="15" t="str">
        <f t="shared" si="1"/>
        <v>LBP_256_6r.csvKnn810Fold</v>
      </c>
      <c r="F338" s="15">
        <f t="shared" si="2"/>
        <v>0.6332</v>
      </c>
    </row>
    <row r="339">
      <c r="A339" s="2" t="s">
        <v>17</v>
      </c>
      <c r="B339" s="2" t="s">
        <v>39</v>
      </c>
      <c r="C339" s="2" t="s">
        <v>12</v>
      </c>
      <c r="D339" s="14">
        <v>6394.0</v>
      </c>
      <c r="E339" s="15" t="str">
        <f t="shared" si="1"/>
        <v>LBP_256_6r.csvKnn910Fold</v>
      </c>
      <c r="F339" s="15">
        <f t="shared" si="2"/>
        <v>0.6394</v>
      </c>
    </row>
    <row r="340">
      <c r="A340" s="2" t="s">
        <v>17</v>
      </c>
      <c r="B340" s="2" t="s">
        <v>39</v>
      </c>
      <c r="C340" s="2" t="s">
        <v>13</v>
      </c>
      <c r="D340" s="14">
        <v>6381.0</v>
      </c>
      <c r="E340" s="15" t="str">
        <f t="shared" si="1"/>
        <v>LBP_256_6r.csvKnn1010Fold</v>
      </c>
      <c r="F340" s="15">
        <f t="shared" si="2"/>
        <v>0.6381</v>
      </c>
    </row>
    <row r="341">
      <c r="A341" s="2" t="s">
        <v>17</v>
      </c>
      <c r="B341" s="2" t="s">
        <v>51</v>
      </c>
      <c r="C341" s="2" t="s">
        <v>4</v>
      </c>
      <c r="D341" s="14">
        <v>5486.0</v>
      </c>
      <c r="E341" s="15" t="str">
        <f t="shared" si="1"/>
        <v>LBP_256_6r_PCA75.csvKnn110Fold</v>
      </c>
      <c r="F341" s="15">
        <f t="shared" si="2"/>
        <v>0.5486</v>
      </c>
    </row>
    <row r="342">
      <c r="A342" s="2" t="s">
        <v>17</v>
      </c>
      <c r="B342" s="2" t="s">
        <v>51</v>
      </c>
      <c r="C342" s="2" t="s">
        <v>5</v>
      </c>
      <c r="D342" s="14">
        <v>5143.0</v>
      </c>
      <c r="E342" s="15" t="str">
        <f t="shared" si="1"/>
        <v>LBP_256_6r_PCA75.csvKnn210Fold</v>
      </c>
      <c r="F342" s="15">
        <f t="shared" si="2"/>
        <v>0.5143</v>
      </c>
    </row>
    <row r="343">
      <c r="A343" s="2" t="s">
        <v>17</v>
      </c>
      <c r="B343" s="2" t="s">
        <v>51</v>
      </c>
      <c r="C343" s="2" t="s">
        <v>6</v>
      </c>
      <c r="D343" s="14">
        <v>5634.0</v>
      </c>
      <c r="E343" s="15" t="str">
        <f t="shared" si="1"/>
        <v>LBP_256_6r_PCA75.csvKnn310Fold</v>
      </c>
      <c r="F343" s="15">
        <f t="shared" si="2"/>
        <v>0.5634</v>
      </c>
    </row>
    <row r="344">
      <c r="A344" s="2" t="s">
        <v>17</v>
      </c>
      <c r="B344" s="2" t="s">
        <v>51</v>
      </c>
      <c r="C344" s="2" t="s">
        <v>7</v>
      </c>
      <c r="D344" s="14">
        <v>5533.0</v>
      </c>
      <c r="E344" s="15" t="str">
        <f t="shared" si="1"/>
        <v>LBP_256_6r_PCA75.csvKnn410Fold</v>
      </c>
      <c r="F344" s="15">
        <f t="shared" si="2"/>
        <v>0.5533</v>
      </c>
    </row>
    <row r="345">
      <c r="A345" s="2" t="s">
        <v>17</v>
      </c>
      <c r="B345" s="2" t="s">
        <v>51</v>
      </c>
      <c r="C345" s="2" t="s">
        <v>8</v>
      </c>
      <c r="D345" s="14">
        <v>5723.0</v>
      </c>
      <c r="E345" s="15" t="str">
        <f t="shared" si="1"/>
        <v>LBP_256_6r_PCA75.csvKnn510Fold</v>
      </c>
      <c r="F345" s="15">
        <f t="shared" si="2"/>
        <v>0.5723</v>
      </c>
    </row>
    <row r="346">
      <c r="A346" s="2" t="s">
        <v>17</v>
      </c>
      <c r="B346" s="2" t="s">
        <v>51</v>
      </c>
      <c r="C346" s="2" t="s">
        <v>9</v>
      </c>
      <c r="D346" s="14">
        <v>5716.0</v>
      </c>
      <c r="E346" s="15" t="str">
        <f t="shared" si="1"/>
        <v>LBP_256_6r_PCA75.csvKnn610Fold</v>
      </c>
      <c r="F346" s="15">
        <f t="shared" si="2"/>
        <v>0.5716</v>
      </c>
    </row>
    <row r="347">
      <c r="A347" s="2" t="s">
        <v>17</v>
      </c>
      <c r="B347" s="2" t="s">
        <v>51</v>
      </c>
      <c r="C347" s="2" t="s">
        <v>10</v>
      </c>
      <c r="D347" s="14">
        <v>5857.0</v>
      </c>
      <c r="E347" s="15" t="str">
        <f t="shared" si="1"/>
        <v>LBP_256_6r_PCA75.csvKnn710Fold</v>
      </c>
      <c r="F347" s="15">
        <f t="shared" si="2"/>
        <v>0.5857</v>
      </c>
    </row>
    <row r="348">
      <c r="A348" s="2" t="s">
        <v>17</v>
      </c>
      <c r="B348" s="2" t="s">
        <v>51</v>
      </c>
      <c r="C348" s="2" t="s">
        <v>11</v>
      </c>
      <c r="D348" s="14">
        <v>5780.0</v>
      </c>
      <c r="E348" s="15" t="str">
        <f t="shared" si="1"/>
        <v>LBP_256_6r_PCA75.csvKnn810Fold</v>
      </c>
      <c r="F348" s="15">
        <f t="shared" si="2"/>
        <v>0.578</v>
      </c>
    </row>
    <row r="349">
      <c r="A349" s="2" t="s">
        <v>17</v>
      </c>
      <c r="B349" s="2" t="s">
        <v>51</v>
      </c>
      <c r="C349" s="2" t="s">
        <v>12</v>
      </c>
      <c r="D349" s="14">
        <v>5895.0</v>
      </c>
      <c r="E349" s="15" t="str">
        <f t="shared" si="1"/>
        <v>LBP_256_6r_PCA75.csvKnn910Fold</v>
      </c>
      <c r="F349" s="15">
        <f t="shared" si="2"/>
        <v>0.5895</v>
      </c>
    </row>
    <row r="350">
      <c r="A350" s="2" t="s">
        <v>17</v>
      </c>
      <c r="B350" s="2" t="s">
        <v>51</v>
      </c>
      <c r="C350" s="2" t="s">
        <v>13</v>
      </c>
      <c r="D350" s="14">
        <v>5839.0</v>
      </c>
      <c r="E350" s="15" t="str">
        <f t="shared" si="1"/>
        <v>LBP_256_6r_PCA75.csvKnn1010Fold</v>
      </c>
      <c r="F350" s="15">
        <f t="shared" si="2"/>
        <v>0.5839</v>
      </c>
    </row>
    <row r="351">
      <c r="A351" s="2" t="s">
        <v>17</v>
      </c>
      <c r="B351" s="2" t="s">
        <v>41</v>
      </c>
      <c r="C351" s="2" t="s">
        <v>4</v>
      </c>
      <c r="D351" s="14">
        <v>5826.0</v>
      </c>
      <c r="E351" s="15" t="str">
        <f t="shared" si="1"/>
        <v>LBP_256_6r_PCA90.csvKnn110Fold</v>
      </c>
      <c r="F351" s="15">
        <f t="shared" si="2"/>
        <v>0.5826</v>
      </c>
    </row>
    <row r="352">
      <c r="A352" s="2" t="s">
        <v>17</v>
      </c>
      <c r="B352" s="2" t="s">
        <v>41</v>
      </c>
      <c r="C352" s="2" t="s">
        <v>5</v>
      </c>
      <c r="D352" s="14">
        <v>5662.0</v>
      </c>
      <c r="E352" s="15" t="str">
        <f t="shared" si="1"/>
        <v>LBP_256_6r_PCA90.csvKnn210Fold</v>
      </c>
      <c r="F352" s="15">
        <f t="shared" si="2"/>
        <v>0.5662</v>
      </c>
    </row>
    <row r="353">
      <c r="A353" s="2" t="s">
        <v>17</v>
      </c>
      <c r="B353" s="2" t="s">
        <v>41</v>
      </c>
      <c r="C353" s="2" t="s">
        <v>6</v>
      </c>
      <c r="D353" s="14">
        <v>5990.0</v>
      </c>
      <c r="E353" s="15" t="str">
        <f t="shared" si="1"/>
        <v>LBP_256_6r_PCA90.csvKnn310Fold</v>
      </c>
      <c r="F353" s="15">
        <f t="shared" si="2"/>
        <v>0.599</v>
      </c>
    </row>
    <row r="354">
      <c r="A354" s="2" t="s">
        <v>17</v>
      </c>
      <c r="B354" s="2" t="s">
        <v>41</v>
      </c>
      <c r="C354" s="2" t="s">
        <v>7</v>
      </c>
      <c r="D354" s="14">
        <v>5931.0</v>
      </c>
      <c r="E354" s="15" t="str">
        <f t="shared" si="1"/>
        <v>LBP_256_6r_PCA90.csvKnn410Fold</v>
      </c>
      <c r="F354" s="15">
        <f t="shared" si="2"/>
        <v>0.5931</v>
      </c>
    </row>
    <row r="355">
      <c r="A355" s="2" t="s">
        <v>17</v>
      </c>
      <c r="B355" s="2" t="s">
        <v>41</v>
      </c>
      <c r="C355" s="2" t="s">
        <v>8</v>
      </c>
      <c r="D355" s="14">
        <v>6129.0</v>
      </c>
      <c r="E355" s="15" t="str">
        <f t="shared" si="1"/>
        <v>LBP_256_6r_PCA90.csvKnn510Fold</v>
      </c>
      <c r="F355" s="15">
        <f t="shared" si="2"/>
        <v>0.6129</v>
      </c>
    </row>
    <row r="356">
      <c r="A356" s="2" t="s">
        <v>17</v>
      </c>
      <c r="B356" s="2" t="s">
        <v>41</v>
      </c>
      <c r="C356" s="2" t="s">
        <v>9</v>
      </c>
      <c r="D356" s="14">
        <v>6114.0</v>
      </c>
      <c r="E356" s="15" t="str">
        <f t="shared" si="1"/>
        <v>LBP_256_6r_PCA90.csvKnn610Fold</v>
      </c>
      <c r="F356" s="15">
        <f t="shared" si="2"/>
        <v>0.6114</v>
      </c>
    </row>
    <row r="357">
      <c r="A357" s="2" t="s">
        <v>17</v>
      </c>
      <c r="B357" s="2" t="s">
        <v>41</v>
      </c>
      <c r="C357" s="2" t="s">
        <v>10</v>
      </c>
      <c r="D357" s="14">
        <v>6194.0</v>
      </c>
      <c r="E357" s="15" t="str">
        <f t="shared" si="1"/>
        <v>LBP_256_6r_PCA90.csvKnn710Fold</v>
      </c>
      <c r="F357" s="15">
        <f t="shared" si="2"/>
        <v>0.6194</v>
      </c>
    </row>
    <row r="358">
      <c r="A358" s="2" t="s">
        <v>17</v>
      </c>
      <c r="B358" s="2" t="s">
        <v>41</v>
      </c>
      <c r="C358" s="2" t="s">
        <v>11</v>
      </c>
      <c r="D358" s="14">
        <v>6199.0</v>
      </c>
      <c r="E358" s="15" t="str">
        <f t="shared" si="1"/>
        <v>LBP_256_6r_PCA90.csvKnn810Fold</v>
      </c>
      <c r="F358" s="15">
        <f t="shared" si="2"/>
        <v>0.6199</v>
      </c>
    </row>
    <row r="359">
      <c r="A359" s="2" t="s">
        <v>17</v>
      </c>
      <c r="B359" s="2" t="s">
        <v>41</v>
      </c>
      <c r="C359" s="2" t="s">
        <v>12</v>
      </c>
      <c r="D359" s="14">
        <v>6274.0</v>
      </c>
      <c r="E359" s="15" t="str">
        <f t="shared" si="1"/>
        <v>LBP_256_6r_PCA90.csvKnn910Fold</v>
      </c>
      <c r="F359" s="15">
        <f t="shared" si="2"/>
        <v>0.6274</v>
      </c>
    </row>
    <row r="360">
      <c r="A360" s="2" t="s">
        <v>17</v>
      </c>
      <c r="B360" s="2" t="s">
        <v>41</v>
      </c>
      <c r="C360" s="2" t="s">
        <v>13</v>
      </c>
      <c r="D360" s="14">
        <v>6250.0</v>
      </c>
      <c r="E360" s="15" t="str">
        <f t="shared" si="1"/>
        <v>LBP_256_6r_PCA90.csvKnn1010Fold</v>
      </c>
      <c r="F360" s="15">
        <f t="shared" si="2"/>
        <v>0.625</v>
      </c>
    </row>
  </sheetData>
  <drawing r:id="rId1"/>
</worksheet>
</file>